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6C241A41-5508-49E1-A6B3-CEFA0711B06F}" xr6:coauthVersionLast="47" xr6:coauthVersionMax="47" xr10:uidLastSave="{00000000-0000-0000-0000-000000000000}"/>
  <bookViews>
    <workbookView xWindow="-110" yWindow="-110" windowWidth="19420" windowHeight="10420" firstSheet="1" activeTab="4" xr2:uid="{00000000-000D-0000-FFFF-FFFF00000000}"/>
  </bookViews>
  <sheets>
    <sheet name="Dashboard" sheetId="10" r:id="rId1"/>
    <sheet name="SEC A &amp; B " sheetId="1" r:id="rId2"/>
    <sheet name="SEC C &amp; D" sheetId="2" r:id="rId3"/>
    <sheet name="SECE" sheetId="3" r:id="rId4"/>
    <sheet name="Report" sheetId="4" r:id="rId5"/>
    <sheet name="Ans-SecA" sheetId="5" r:id="rId6"/>
    <sheet name="Ans-SecB" sheetId="7" r:id="rId7"/>
    <sheet name="Ans-SecC" sheetId="8" r:id="rId8"/>
    <sheet name="Answer Sheet" sheetId="9" r:id="rId9"/>
  </sheets>
  <definedNames>
    <definedName name="_xlnm.Print_Area" localSheetId="8">'Answer Sheet'!#REF!</definedName>
    <definedName name="_xlnm.Print_Area" localSheetId="4">Report!$A$1:$B$28</definedName>
  </definedNames>
  <calcPr calcId="191029"/>
</workbook>
</file>

<file path=xl/calcChain.xml><?xml version="1.0" encoding="utf-8"?>
<calcChain xmlns="http://schemas.openxmlformats.org/spreadsheetml/2006/main">
  <c r="A6" i="4" l="1"/>
  <c r="B8" i="3"/>
  <c r="B17" i="3"/>
  <c r="B13" i="3"/>
  <c r="B12" i="3"/>
  <c r="B10" i="3"/>
  <c r="B19" i="3" l="1"/>
  <c r="B15" i="3"/>
  <c r="B11" i="3"/>
  <c r="B9" i="3"/>
  <c r="B6" i="3"/>
  <c r="B5" i="3"/>
  <c r="L110" i="2" l="1"/>
  <c r="L109" i="2"/>
  <c r="L108" i="2"/>
  <c r="L107" i="2"/>
  <c r="I110" i="2"/>
  <c r="I109" i="2"/>
  <c r="I108" i="2"/>
  <c r="I107" i="2"/>
  <c r="F110" i="2"/>
  <c r="F109" i="2"/>
  <c r="F108" i="2"/>
  <c r="F107" i="2"/>
  <c r="C110" i="2"/>
  <c r="C109" i="2"/>
  <c r="C108" i="2"/>
  <c r="C107" i="2" l="1"/>
  <c r="D105" i="1"/>
  <c r="B4" i="3"/>
  <c r="M109" i="2" l="1"/>
  <c r="M108" i="2"/>
  <c r="M107" i="2"/>
  <c r="J110" i="2"/>
  <c r="J109" i="2"/>
  <c r="J108" i="2"/>
  <c r="J107" i="2"/>
  <c r="G110" i="2"/>
  <c r="G108" i="2"/>
  <c r="G107" i="2"/>
  <c r="D110" i="2"/>
  <c r="D109" i="2"/>
  <c r="D108" i="2"/>
  <c r="D107" i="2"/>
  <c r="M110" i="2"/>
  <c r="G109" i="2"/>
  <c r="C101" i="2"/>
  <c r="D101" i="2" s="1"/>
  <c r="L101" i="2"/>
  <c r="M101" i="2" s="1"/>
  <c r="I91" i="2"/>
  <c r="J91" i="2" s="1"/>
  <c r="C92" i="2"/>
  <c r="D92" i="2" s="1"/>
  <c r="I101" i="2"/>
  <c r="J101" i="2" s="1"/>
  <c r="F101" i="2"/>
  <c r="G101" i="2" s="1"/>
  <c r="L100" i="2"/>
  <c r="M100" i="2" s="1"/>
  <c r="I100" i="2"/>
  <c r="J100" i="2" s="1"/>
  <c r="F100" i="2"/>
  <c r="G100" i="2" s="1"/>
  <c r="C100" i="2"/>
  <c r="D100" i="2" s="1"/>
  <c r="L99" i="2"/>
  <c r="M99" i="2" s="1"/>
  <c r="I99" i="2"/>
  <c r="J99" i="2" s="1"/>
  <c r="F99" i="2"/>
  <c r="G99" i="2" s="1"/>
  <c r="C99" i="2"/>
  <c r="D99" i="2" s="1"/>
  <c r="L98" i="2"/>
  <c r="M98" i="2" s="1"/>
  <c r="I98" i="2"/>
  <c r="J98" i="2" s="1"/>
  <c r="F98" i="2"/>
  <c r="C98" i="2"/>
  <c r="D98" i="2" s="1"/>
  <c r="L97" i="2"/>
  <c r="M97" i="2" s="1"/>
  <c r="I97" i="2"/>
  <c r="J97" i="2" s="1"/>
  <c r="F97" i="2"/>
  <c r="G97" i="2" s="1"/>
  <c r="C97" i="2"/>
  <c r="D97" i="2" s="1"/>
  <c r="L96" i="2"/>
  <c r="M96" i="2" s="1"/>
  <c r="I96" i="2"/>
  <c r="J96" i="2" s="1"/>
  <c r="F96" i="2"/>
  <c r="G96" i="2" s="1"/>
  <c r="C96" i="2"/>
  <c r="D96" i="2" s="1"/>
  <c r="L95" i="2"/>
  <c r="M95" i="2" s="1"/>
  <c r="I95" i="2"/>
  <c r="J95" i="2" s="1"/>
  <c r="F95" i="2"/>
  <c r="G95" i="2" s="1"/>
  <c r="C95" i="2"/>
  <c r="D95" i="2" s="1"/>
  <c r="L94" i="2"/>
  <c r="M94" i="2" s="1"/>
  <c r="I94" i="2"/>
  <c r="J94" i="2" s="1"/>
  <c r="F94" i="2"/>
  <c r="G94" i="2" s="1"/>
  <c r="C94" i="2"/>
  <c r="D94" i="2" s="1"/>
  <c r="L93" i="2"/>
  <c r="M93" i="2" s="1"/>
  <c r="C93" i="2"/>
  <c r="D93" i="2" s="1"/>
  <c r="I93" i="2"/>
  <c r="J93" i="2" s="1"/>
  <c r="F93" i="2"/>
  <c r="G93" i="2" s="1"/>
  <c r="L92" i="2"/>
  <c r="M92" i="2" s="1"/>
  <c r="L91" i="2"/>
  <c r="M91" i="2" s="1"/>
  <c r="I92" i="2"/>
  <c r="J92" i="2" s="1"/>
  <c r="F92" i="2"/>
  <c r="G92" i="2" s="1"/>
  <c r="F91" i="2"/>
  <c r="G91" i="2" s="1"/>
  <c r="C91" i="2"/>
  <c r="D91" i="2" s="1"/>
  <c r="L90" i="2"/>
  <c r="M90" i="2" s="1"/>
  <c r="I90" i="2"/>
  <c r="J90" i="2" s="1"/>
  <c r="F90" i="2"/>
  <c r="G90" i="2" s="1"/>
  <c r="G98" i="2"/>
  <c r="C90" i="2"/>
  <c r="D90" i="2" s="1"/>
  <c r="D80" i="2"/>
  <c r="D79" i="2"/>
  <c r="D78" i="2"/>
  <c r="D77" i="2"/>
  <c r="D76" i="2"/>
  <c r="D75" i="2"/>
  <c r="D74" i="2"/>
  <c r="D73" i="2"/>
  <c r="D72" i="2"/>
  <c r="D71" i="2"/>
  <c r="D70" i="2"/>
  <c r="D69" i="2"/>
  <c r="D68" i="2"/>
  <c r="D67" i="2"/>
  <c r="D66" i="2"/>
  <c r="D65" i="2"/>
  <c r="D64" i="2"/>
  <c r="C80" i="2"/>
  <c r="C79" i="2"/>
  <c r="C78" i="2"/>
  <c r="C77" i="2"/>
  <c r="C76" i="2"/>
  <c r="C75" i="2"/>
  <c r="C74" i="2"/>
  <c r="C73" i="2"/>
  <c r="C72" i="2"/>
  <c r="C71" i="2"/>
  <c r="C70" i="2"/>
  <c r="C69" i="2"/>
  <c r="C68" i="2"/>
  <c r="C65" i="2"/>
  <c r="C64" i="2"/>
  <c r="C67" i="2"/>
  <c r="C66" i="2"/>
  <c r="C60" i="2"/>
  <c r="D60" i="2"/>
  <c r="D59" i="2"/>
  <c r="D58" i="2"/>
  <c r="D57" i="2"/>
  <c r="D56" i="2"/>
  <c r="D55" i="2"/>
  <c r="D54" i="2"/>
  <c r="D53" i="2"/>
  <c r="D52" i="2"/>
  <c r="D51" i="2"/>
  <c r="D50" i="2"/>
  <c r="D49" i="2"/>
  <c r="D48" i="2"/>
  <c r="D47" i="2"/>
  <c r="D46" i="2"/>
  <c r="D45" i="2"/>
  <c r="D44" i="2"/>
  <c r="D43" i="2"/>
  <c r="C59" i="2"/>
  <c r="C58" i="2"/>
  <c r="C57" i="2"/>
  <c r="C56" i="2"/>
  <c r="C55" i="2"/>
  <c r="C54" i="2"/>
  <c r="C53" i="2"/>
  <c r="C52" i="2"/>
  <c r="C51" i="2"/>
  <c r="C50" i="2"/>
  <c r="C49" i="2"/>
  <c r="C48" i="2"/>
  <c r="C47" i="2"/>
  <c r="C46" i="2"/>
  <c r="C45" i="2"/>
  <c r="C44" i="2"/>
  <c r="C43" i="2"/>
  <c r="D42" i="2"/>
  <c r="C42" i="2"/>
  <c r="C33" i="2"/>
  <c r="C38" i="2"/>
  <c r="D38" i="2"/>
  <c r="D37" i="2"/>
  <c r="C37" i="2"/>
  <c r="D36" i="2"/>
  <c r="C36" i="2"/>
  <c r="D35" i="2"/>
  <c r="C35" i="2"/>
  <c r="D34" i="2"/>
  <c r="C34" i="2"/>
  <c r="D33" i="2"/>
  <c r="D32" i="2"/>
  <c r="C32" i="2"/>
  <c r="D31" i="2"/>
  <c r="C31" i="2"/>
  <c r="D30" i="2"/>
  <c r="C30" i="2"/>
  <c r="D29" i="2"/>
  <c r="C29" i="2"/>
  <c r="D28" i="2"/>
  <c r="C28" i="2"/>
  <c r="D27" i="2"/>
  <c r="C27" i="2"/>
  <c r="D26" i="2"/>
  <c r="C26" i="2"/>
  <c r="D25" i="2"/>
  <c r="C25" i="2"/>
  <c r="D24" i="2"/>
  <c r="C24" i="2"/>
  <c r="D23" i="2"/>
  <c r="C23" i="2"/>
  <c r="C22" i="2"/>
  <c r="D22" i="2"/>
  <c r="D18" i="2"/>
  <c r="C18" i="2"/>
  <c r="D17" i="2"/>
  <c r="C17" i="2"/>
  <c r="D16" i="2"/>
  <c r="C16" i="2"/>
  <c r="D15" i="2"/>
  <c r="C15" i="2"/>
  <c r="D14" i="2"/>
  <c r="C14" i="2"/>
  <c r="D13" i="2"/>
  <c r="C13" i="2"/>
  <c r="D12" i="2"/>
  <c r="C12" i="2"/>
  <c r="D11" i="2"/>
  <c r="C11" i="2"/>
  <c r="D10" i="2"/>
  <c r="C10" i="2"/>
  <c r="D9" i="2"/>
  <c r="C9" i="2"/>
  <c r="D8" i="2"/>
  <c r="C8" i="2"/>
  <c r="D7" i="2"/>
  <c r="C7" i="2"/>
  <c r="D6" i="2"/>
  <c r="C6" i="2"/>
  <c r="D5" i="2"/>
  <c r="C5" i="2"/>
  <c r="D4" i="2"/>
  <c r="C4" i="2"/>
  <c r="D110" i="1"/>
  <c r="D109" i="1"/>
  <c r="D108" i="1"/>
  <c r="D107" i="1"/>
  <c r="D106" i="1"/>
  <c r="D98" i="1"/>
  <c r="D97" i="1"/>
  <c r="D96" i="1"/>
  <c r="D95" i="1"/>
  <c r="D94" i="1"/>
  <c r="D93" i="1"/>
  <c r="D92" i="1"/>
  <c r="D91" i="1"/>
  <c r="D90" i="1"/>
  <c r="D89" i="1"/>
  <c r="D88" i="1"/>
  <c r="D87" i="1"/>
  <c r="D86" i="1"/>
  <c r="D85" i="1"/>
  <c r="D84" i="1"/>
  <c r="D80" i="1"/>
  <c r="D79" i="1"/>
  <c r="D78" i="1"/>
  <c r="D82" i="1"/>
  <c r="D81" i="1"/>
  <c r="D77" i="1"/>
  <c r="D76" i="1"/>
  <c r="D75" i="1"/>
  <c r="D74" i="1"/>
  <c r="D73" i="1"/>
  <c r="D72" i="1"/>
  <c r="D71" i="1"/>
  <c r="D70" i="1"/>
  <c r="D69" i="1"/>
  <c r="D68" i="1"/>
  <c r="D66" i="1"/>
  <c r="D65" i="1"/>
  <c r="D64" i="1"/>
  <c r="D63" i="1"/>
  <c r="D62" i="1"/>
  <c r="D61" i="1"/>
  <c r="D60" i="1"/>
  <c r="D59" i="1"/>
  <c r="D58" i="1"/>
  <c r="D57" i="1"/>
  <c r="D56" i="1"/>
  <c r="D55" i="1"/>
  <c r="D54" i="1"/>
  <c r="D53" i="1"/>
  <c r="D52" i="1"/>
  <c r="D50" i="1"/>
  <c r="D49" i="1"/>
  <c r="D48" i="1"/>
  <c r="D47" i="1"/>
  <c r="D46" i="1"/>
  <c r="D45" i="1"/>
  <c r="D44" i="1"/>
  <c r="D43" i="1"/>
  <c r="D42" i="1"/>
  <c r="D41" i="1"/>
  <c r="D40" i="1"/>
  <c r="D39" i="1"/>
  <c r="D38" i="1"/>
  <c r="D37" i="1"/>
  <c r="D36" i="1"/>
  <c r="D34" i="1"/>
  <c r="D33" i="1"/>
  <c r="D32" i="1"/>
  <c r="D31" i="1"/>
  <c r="D30" i="1"/>
  <c r="D29" i="1"/>
  <c r="D28" i="1"/>
  <c r="D27" i="1"/>
  <c r="D26" i="1"/>
  <c r="D25" i="1"/>
  <c r="D24" i="1"/>
  <c r="D23" i="1"/>
  <c r="D22" i="1"/>
  <c r="D21" i="1"/>
  <c r="D20" i="1"/>
  <c r="D18" i="1"/>
  <c r="D17" i="1"/>
  <c r="D16" i="1"/>
  <c r="D15" i="1"/>
  <c r="D14" i="1"/>
  <c r="D13" i="1"/>
  <c r="D12" i="1"/>
  <c r="D11" i="1"/>
  <c r="D10" i="1"/>
  <c r="D9" i="1"/>
  <c r="D8" i="1"/>
  <c r="D7" i="1"/>
  <c r="D6" i="1"/>
  <c r="D5" i="1"/>
  <c r="D4" i="1"/>
  <c r="C111" i="2" l="1"/>
  <c r="D111" i="2"/>
  <c r="B22" i="3" l="1"/>
  <c r="B23" i="3" s="1"/>
  <c r="A18" i="4" s="1"/>
  <c r="M111" i="2" l="1"/>
  <c r="L111" i="2"/>
  <c r="J111" i="2"/>
  <c r="I111" i="2"/>
  <c r="G111" i="2"/>
  <c r="F111" i="2"/>
  <c r="R122" i="1"/>
  <c r="D99" i="1" s="1"/>
  <c r="R121" i="1"/>
  <c r="D83" i="1" s="1"/>
  <c r="R120" i="1"/>
  <c r="D67" i="1" s="1"/>
  <c r="R119" i="1"/>
  <c r="D51" i="1" s="1"/>
  <c r="R118" i="1"/>
  <c r="D35" i="1" s="1"/>
  <c r="R117" i="1"/>
  <c r="D19" i="1" s="1"/>
  <c r="M102" i="2"/>
  <c r="L102" i="2"/>
  <c r="J102" i="2"/>
  <c r="I102" i="2"/>
  <c r="D61" i="2" s="1"/>
  <c r="G102" i="2"/>
  <c r="F102" i="2"/>
  <c r="D102" i="2"/>
  <c r="C102" i="2"/>
  <c r="C61" i="2" l="1"/>
  <c r="C62" i="2" s="1"/>
  <c r="C81" i="2"/>
  <c r="C82" i="2" s="1"/>
  <c r="D62" i="2"/>
  <c r="D39" i="2"/>
  <c r="D19" i="2"/>
  <c r="D20" i="2" s="1"/>
  <c r="C19" i="2"/>
  <c r="C20" i="2" s="1"/>
  <c r="D81" i="2"/>
  <c r="D82" i="2" s="1"/>
  <c r="C39" i="2"/>
  <c r="E99" i="1"/>
  <c r="E83" i="1"/>
  <c r="B133" i="1" s="1"/>
  <c r="E67" i="1"/>
  <c r="E51" i="1"/>
  <c r="E35" i="1"/>
  <c r="B132" i="1" s="1"/>
  <c r="E19" i="1"/>
  <c r="G3" i="2" l="1"/>
  <c r="I3" i="2"/>
  <c r="G12" i="2"/>
  <c r="I12" i="2"/>
  <c r="G16" i="2"/>
  <c r="I16" i="2"/>
  <c r="G4" i="2"/>
  <c r="H21" i="2" s="1"/>
  <c r="I21" i="2" s="1"/>
  <c r="I4" i="2"/>
  <c r="G11" i="2"/>
  <c r="I11" i="2"/>
  <c r="G15" i="2"/>
  <c r="I15" i="2"/>
  <c r="F35" i="1"/>
  <c r="B54" i="4"/>
  <c r="F99" i="1"/>
  <c r="B135" i="1"/>
  <c r="B51" i="4" s="1"/>
  <c r="F51" i="1"/>
  <c r="B134" i="1"/>
  <c r="B52" i="4" s="1"/>
  <c r="F83" i="1"/>
  <c r="B53" i="4"/>
  <c r="F67" i="1"/>
  <c r="B131" i="1"/>
  <c r="B55" i="4" s="1"/>
  <c r="F19" i="1"/>
  <c r="B130" i="1"/>
  <c r="C40" i="2"/>
  <c r="D40" i="2"/>
  <c r="H24" i="2" l="1"/>
  <c r="I24" i="2" s="1"/>
  <c r="H23" i="2"/>
  <c r="I23" i="2" s="1"/>
  <c r="G7" i="2"/>
  <c r="I7" i="2"/>
  <c r="G8" i="2"/>
  <c r="I8" i="2"/>
  <c r="B56" i="4"/>
  <c r="E130" i="1"/>
  <c r="F130" i="1" s="1"/>
  <c r="A10" i="4" s="1"/>
  <c r="H22" i="2" l="1"/>
  <c r="I22" i="2" s="1"/>
  <c r="I26" i="2" s="1"/>
  <c r="A14" i="4" s="1"/>
</calcChain>
</file>

<file path=xl/sharedStrings.xml><?xml version="1.0" encoding="utf-8"?>
<sst xmlns="http://schemas.openxmlformats.org/spreadsheetml/2006/main" count="633" uniqueCount="448">
  <si>
    <t>S.No</t>
  </si>
  <si>
    <t>Answers</t>
  </si>
  <si>
    <t>R</t>
  </si>
  <si>
    <t>A</t>
  </si>
  <si>
    <t>E</t>
  </si>
  <si>
    <t>I</t>
  </si>
  <si>
    <t>S</t>
  </si>
  <si>
    <t>C</t>
  </si>
  <si>
    <t>TOTAL</t>
  </si>
  <si>
    <t>T</t>
  </si>
  <si>
    <t>F</t>
  </si>
  <si>
    <t xml:space="preserve">J </t>
  </si>
  <si>
    <t xml:space="preserve">P </t>
  </si>
  <si>
    <t>Option A</t>
  </si>
  <si>
    <t xml:space="preserve">Option B </t>
  </si>
  <si>
    <t>J</t>
  </si>
  <si>
    <t>P</t>
  </si>
  <si>
    <t>Architecture and Construction</t>
  </si>
  <si>
    <t>Arts , A/V &amp; Communication</t>
  </si>
  <si>
    <t>Business, Management and Administration</t>
  </si>
  <si>
    <t>Education and Training</t>
  </si>
  <si>
    <t>Finance</t>
  </si>
  <si>
    <t>Government and Public Administration</t>
  </si>
  <si>
    <t>Health Science</t>
  </si>
  <si>
    <t>Hospitality and Tourism</t>
  </si>
  <si>
    <t>Human Services</t>
  </si>
  <si>
    <t>Information Technology</t>
  </si>
  <si>
    <t>Public Safety and Security</t>
  </si>
  <si>
    <t>Manfacturing</t>
  </si>
  <si>
    <t>Marketing , Sales and Service</t>
  </si>
  <si>
    <t>Science, Technology, Engineering &amp; Maths</t>
  </si>
  <si>
    <t>Count</t>
  </si>
  <si>
    <t>V</t>
  </si>
  <si>
    <t>B</t>
  </si>
  <si>
    <t>G</t>
  </si>
  <si>
    <t>H</t>
  </si>
  <si>
    <t>N</t>
  </si>
  <si>
    <t>Y</t>
  </si>
  <si>
    <t>D</t>
  </si>
  <si>
    <t>ASSESSMENT REPORT</t>
  </si>
  <si>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Social</t>
    </r>
    <r>
      <rPr>
        <sz val="10"/>
        <color theme="1"/>
        <rFont val="Calibri"/>
        <family val="2"/>
        <scheme val="minor"/>
      </rPr>
      <t xml:space="preserve">
A person with a "Social Personality" tends to be helping, informing, teaching, inspiring, counseling, and serving.
Examples of social abilities include interacting with people and concerned with the welfare of people.</t>
    </r>
  </si>
  <si>
    <t>ANSWER SHEET</t>
  </si>
  <si>
    <t>Section A</t>
  </si>
  <si>
    <t>S. No</t>
  </si>
  <si>
    <t>Answer</t>
  </si>
  <si>
    <t xml:space="preserve">Section B </t>
  </si>
  <si>
    <t xml:space="preserve">Section C </t>
  </si>
  <si>
    <t xml:space="preserve">Box No. </t>
  </si>
  <si>
    <t>Numbers checked</t>
  </si>
  <si>
    <t xml:space="preserve">Name: </t>
  </si>
  <si>
    <t xml:space="preserve">School: </t>
  </si>
  <si>
    <t xml:space="preserve">Grade: </t>
  </si>
  <si>
    <t xml:space="preserve">Date: </t>
  </si>
  <si>
    <t>________________________</t>
  </si>
  <si>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S - Human Services
</t>
    </r>
    <r>
      <rPr>
        <sz val="10"/>
        <color theme="1"/>
        <rFont val="Calibri"/>
        <family val="2"/>
        <scheme val="minor"/>
      </rPr>
      <t xml:space="preserve">
The “Human Services” cluster is divided into five pathways. Pathways are grouped by the knowledge and skills required of occupations in these career fields.  Learners need a solid background in communication, science and technical skills. 
The five pathways are (i) Early childhood development and services, (ii) Counseling and mental health services, (iii) Family and community services, (iv) Personal care services, and (v) Consumer Services.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</si>
  <si>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ENFP</t>
    </r>
    <r>
      <rPr>
        <sz val="10"/>
        <color theme="1"/>
        <rFont val="Calibri"/>
        <family val="2"/>
        <scheme val="minor"/>
      </rPr>
      <t xml:space="preserve">
ENFPs are also known as “THE INSPIRERS”. ENFPs tend to be project-oriented, extremely intuitive, cooperative, friendly, creative and perceptive about people. They are usually able to grasp difficult concepts and theories. ENFPs dislike performing routine tasks. 
Important characteristic: ENFPs are extremely intuitive and perceptive about people.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</si>
  <si>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Investigative</t>
    </r>
    <r>
      <rPr>
        <sz val="10"/>
        <color theme="1"/>
        <rFont val="Calibri"/>
        <family val="2"/>
        <scheme val="minor"/>
      </rPr>
      <t xml:space="preserve">
A person with an "Investigative Personality" tends to be analytical, intellectual, reserved, independent, and scholarly.
Examples of investigative abilities include working with abstract ideas and intellectual problems.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</si>
  <si>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Conventional</t>
    </r>
    <r>
      <rPr>
        <sz val="10"/>
        <color theme="1"/>
        <rFont val="Calibri"/>
        <family val="2"/>
        <scheme val="minor"/>
      </rPr>
      <t xml:space="preserve">
A person with a "Conventional Personality" tends to be careful, conforming, conservative, conscientious, self-controlled, and structured.
Examples of conventional abilities include ordering activities and paying attention to details.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</si>
  <si>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ISFP
</t>
    </r>
    <r>
      <rPr>
        <sz val="10"/>
        <color theme="1"/>
        <rFont val="Calibri"/>
        <family val="2"/>
        <scheme val="minor"/>
      </rPr>
      <t xml:space="preserve">
ISFPs are also known as “THE ARTISTS”. ISFPs tend to be individualistic, quiet and reserved. They enjoy a slower pace and like to take time to savor the present moment. They dislike routine tasks and dealing with theory or abstract thoughts (unless they see a practical application). 
Important characteristic: ISFPs need a great deal of space and freedom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</si>
  <si>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ISTP
</t>
    </r>
    <r>
      <rPr>
        <sz val="10"/>
        <color theme="1"/>
        <rFont val="Calibri"/>
        <family val="2"/>
        <scheme val="minor"/>
      </rPr>
      <t xml:space="preserve">
ISTPs are also known as “THE MECHANICS”. ISTPs tend to be interested in how and why things work. They have an excellent ability to apply logic and reason to their immense store of facts to solve problems or discover how things work. 
Important characteristic: Ability to concentrate and work through problems.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</si>
  <si>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ENTJ</t>
    </r>
    <r>
      <rPr>
        <sz val="10"/>
        <color theme="1"/>
        <rFont val="Calibri"/>
        <family val="2"/>
        <scheme val="minor"/>
      </rPr>
      <t xml:space="preserve">
ENTJs are also known as “THE EXECUTIVES”. ENTJs tend to be future oriented, self confident and decisive. They dislike routine and are impatient with inefficiency and incompetence. 
Important Characteristic: Ability to clearly identify problems and innovative solutions for the short and long-term well-being of an organization.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</si>
  <si>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INTJ
</t>
    </r>
    <r>
      <rPr>
        <sz val="10"/>
        <color theme="1"/>
        <rFont val="Calibri"/>
        <family val="2"/>
        <scheme val="minor"/>
      </rPr>
      <t xml:space="preserve">
INTJs are also known as “THE SCIENTISTS”. INTJs tend to be future-oriented, calm, collected, and analytical. They prefer to work alone and are supreme strategists. They are driven to create order and structure from theoretical abstractions. 
Important characteristic: Ability to grasp complex theories and applying them to problems to come up with long-term strategies.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</si>
  <si>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INTP
</t>
    </r>
    <r>
      <rPr>
        <sz val="10"/>
        <color theme="1"/>
        <rFont val="Calibri"/>
        <family val="2"/>
        <scheme val="minor"/>
      </rPr>
      <t xml:space="preserve">
INTPs are also known as “THE THINKERS”.  INTPs tend to be independent, original, creative, and future oriented. They love theory and abstract ideas and work best alone. 
Important Characteristic: Ability to  quickly grasp complex abstract thoughts.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</si>
  <si>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INFJ</t>
    </r>
    <r>
      <rPr>
        <sz val="10"/>
        <color theme="1"/>
        <rFont val="Calibri"/>
        <family val="2"/>
        <scheme val="minor"/>
      </rPr>
      <t xml:space="preserve">
INFJs are also known as “THE PROTECTORS”. INFJs generally tend to be intuitive, idealistic, sensitive and compassionate towards people. They are usually reserved about expressing their true selves. 
Important characteristic: Ability to work logically and rationally.</t>
    </r>
  </si>
  <si>
    <t xml:space="preserve">ANSWER SHEET  - SECTION A  (fill data in blue cells only) (Yes = 1 and No = 0) </t>
  </si>
  <si>
    <t>d</t>
  </si>
  <si>
    <t>e</t>
  </si>
  <si>
    <t xml:space="preserve">S  </t>
  </si>
  <si>
    <t>SUMMARY</t>
  </si>
  <si>
    <t xml:space="preserve">Section D </t>
  </si>
  <si>
    <t xml:space="preserve">Section F </t>
  </si>
  <si>
    <t xml:space="preserve">Scenario 1 </t>
  </si>
  <si>
    <t>i</t>
  </si>
  <si>
    <t>ii</t>
  </si>
  <si>
    <t>iii</t>
  </si>
  <si>
    <t>iv</t>
  </si>
  <si>
    <t>v</t>
  </si>
  <si>
    <t>vi</t>
  </si>
  <si>
    <t>Scenario 2</t>
  </si>
  <si>
    <t>Scenario 3</t>
  </si>
  <si>
    <t>Scenario 4</t>
  </si>
  <si>
    <t xml:space="preserve">TOTAL </t>
  </si>
  <si>
    <t>a</t>
  </si>
  <si>
    <t>b</t>
  </si>
  <si>
    <t>c</t>
  </si>
  <si>
    <t>VOCATION FINDER</t>
  </si>
  <si>
    <t>PERSONALITY ANALYZER</t>
  </si>
  <si>
    <t>CAREER FUNNEL</t>
  </si>
  <si>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Realistic</t>
    </r>
    <r>
      <rPr>
        <sz val="10"/>
        <color theme="1"/>
        <rFont val="Calibri"/>
        <family val="2"/>
        <scheme val="minor"/>
      </rPr>
      <t xml:space="preserve">
A person with a "Realistic Personality" tends to be frank, practical, focused, mechanical, determined, and rugged.
Examples of</t>
    </r>
    <r>
      <rPr>
        <b/>
        <sz val="10"/>
        <color theme="1"/>
        <rFont val="Calibri"/>
        <family val="2"/>
        <scheme val="minor"/>
      </rPr>
      <t xml:space="preserve"> </t>
    </r>
    <r>
      <rPr>
        <sz val="10"/>
        <color theme="1"/>
        <rFont val="Calibri"/>
        <family val="2"/>
        <scheme val="minor"/>
      </rPr>
      <t>realistic abilities include manipulating tools, doing mechanical or manual tasks, and doing athletic activities.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</si>
  <si>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Artistic</t>
    </r>
    <r>
      <rPr>
        <sz val="10"/>
        <color theme="1"/>
        <rFont val="Calibri"/>
        <family val="2"/>
        <scheme val="minor"/>
      </rPr>
      <t xml:space="preserve">
A person with an "Artistic Personality" tends to be complicated, original, impulsive, independent, expressive, and creative.
Examples of artistic abilities include using imagination and feelings in creative expression</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</si>
  <si>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Enterprising</t>
    </r>
    <r>
      <rPr>
        <sz val="10"/>
        <color theme="1"/>
        <rFont val="Calibri"/>
        <family val="2"/>
        <scheme val="minor"/>
      </rPr>
      <t xml:space="preserve">
A person with an "Enterprising Personality" tends to be persuasive, energetic, sociable, adventurous, ambitious, and risk-taking.
Examples of enterprising abilities include leading, managing, and organizing.</t>
    </r>
  </si>
  <si>
    <r>
      <rPr>
        <b/>
        <sz val="10"/>
        <color theme="1"/>
        <rFont val="Calibri"/>
        <family val="2"/>
        <scheme val="minor"/>
      </rPr>
      <t>Dominant Type:</t>
    </r>
    <r>
      <rPr>
        <i/>
        <sz val="10"/>
        <color theme="1"/>
        <rFont val="Calibri"/>
        <family val="2"/>
        <scheme val="minor"/>
      </rPr>
      <t xml:space="preserve">  ISTJ</t>
    </r>
    <r>
      <rPr>
        <sz val="10"/>
        <color theme="1"/>
        <rFont val="Calibri"/>
        <family val="2"/>
        <scheme val="minor"/>
      </rPr>
      <t xml:space="preserve">
ISTJs are also known as “DUTY FULFILLERS”. ISTJs tend to respect facts, appreciate structured / orderly environments, work long and hard to fulfill duties &amp; are extremely observant. They dislike changes and doing things which don’t make sense to them.  
Important characteristic: Perseverance.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</si>
  <si>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ESTJ</t>
    </r>
    <r>
      <rPr>
        <sz val="10"/>
        <color theme="1"/>
        <rFont val="Calibri"/>
        <family val="2"/>
        <scheme val="minor"/>
      </rPr>
      <t xml:space="preserve">
ESTJs are also known as “THE GUARDIANS”.  ESTJs tend to be athletic and wholesome. They have clear set of standards, have no patience with incompetence, enjoy order and structure, and are driven to fulfill their duties. 
Important characteristic: Flexibility.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</si>
  <si>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ISFJ
</t>
    </r>
    <r>
      <rPr>
        <sz val="10"/>
        <color theme="1"/>
        <rFont val="Calibri"/>
        <family val="2"/>
        <scheme val="minor"/>
      </rPr>
      <t xml:space="preserve">
ISFJs are also known as “NURTURERS”. ISFJs tend to be highly observant, stable, and practical. They have excellent memory for details and enjoy creating structure &amp; order. 
Important characteristic:  Ability to create structure and order.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</si>
  <si>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ESFJ
</t>
    </r>
    <r>
      <rPr>
        <sz val="10"/>
        <color theme="1"/>
        <rFont val="Calibri"/>
        <family val="2"/>
        <scheme val="minor"/>
      </rPr>
      <t xml:space="preserve">
ESFJs are also known as “THE CAREGIVERS”. ESFJs tend to be organized, warm hearted and sympathetic. They enjoy variety and interacting with people. 
Important characteristic: Ability to create structure and order.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</si>
  <si>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ESTP
</t>
    </r>
    <r>
      <rPr>
        <sz val="10"/>
        <color theme="1"/>
        <rFont val="Calibri"/>
        <family val="2"/>
        <scheme val="minor"/>
      </rPr>
      <t xml:space="preserve">
ESTPs are also known as “THE DOERS”. ESTPs tend to be action-oriented, fast paced and energetic. They live in the present moment, like to initiate things, and are fun to be around.
Important characteristic:  Ability to observe and react quickly / effectively to an immediate need.</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</si>
  <si>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ESFP
</t>
    </r>
    <r>
      <rPr>
        <sz val="10"/>
        <color theme="1"/>
        <rFont val="Calibri"/>
        <family val="2"/>
        <scheme val="minor"/>
      </rPr>
      <t xml:space="preserve">
ESFPs are also known as “PERFORMERS”. ESFPs tend to be stimulated and excited by new experiences. They are independent, spontaneous and are warmly interested in people. They dislike structure and routine. 
Important characteristic: People’s skills.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</si>
  <si>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ENTP
</t>
    </r>
    <r>
      <rPr>
        <sz val="10"/>
        <color theme="1"/>
        <rFont val="Calibri"/>
        <family val="2"/>
        <scheme val="minor"/>
      </rPr>
      <t xml:space="preserve">
ENTPs are also known as “THE VISIONARIES”. ENTPs tend to be project-oriented, creative, flexible, diverse, and logical / rational thinkers. They dislike routine and detailed tasks. 
Important characteristic: Creativity</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</si>
  <si>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ENFJ
</t>
    </r>
    <r>
      <rPr>
        <sz val="10"/>
        <color theme="1"/>
        <rFont val="Calibri"/>
        <family val="2"/>
        <scheme val="minor"/>
      </rPr>
      <t xml:space="preserve">
ENFJs are also known as “THE GIVERS”. ENFJs tend to be creative, imaginative and warmly interested in people. They value structure /organization and are good at people skills. They are extremely sensitive to criticism and discord. 
Important Characteristic: People skills.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</si>
  <si>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INFP
</t>
    </r>
    <r>
      <rPr>
        <sz val="10"/>
        <color theme="1"/>
        <rFont val="Calibri"/>
        <family val="2"/>
        <scheme val="minor"/>
      </rPr>
      <t xml:space="preserve">
INFPs are also known as “THE IDEALISTS”. INFPs tend to be future &amp; growth oriented, creative, inspirational, flexible, laid-back, and individualistic. They prefer to work alone and dislike dealing with details and routine work. 
Important characteristic: INFPs are growth oriented. </t>
    </r>
  </si>
  <si>
    <r>
      <rPr>
        <b/>
        <sz val="10"/>
        <color theme="1"/>
        <rFont val="Calibri"/>
        <family val="2"/>
        <scheme val="minor"/>
      </rPr>
      <t>Dominant Type:</t>
    </r>
    <r>
      <rPr>
        <sz val="10"/>
        <color theme="1"/>
        <rFont val="Calibri"/>
        <family val="2"/>
        <scheme val="minor"/>
      </rPr>
      <t xml:space="preserve">  Y - Science / Technology / Maths / Engineering </t>
    </r>
    <r>
      <rPr>
        <i/>
        <sz val="10"/>
        <color theme="1"/>
        <rFont val="Calibri"/>
        <family val="2"/>
        <scheme val="minor"/>
      </rPr>
      <t xml:space="preserve">
</t>
    </r>
    <r>
      <rPr>
        <sz val="10"/>
        <color theme="1"/>
        <rFont val="Calibri"/>
        <family val="2"/>
        <scheme val="minor"/>
      </rPr>
      <t xml:space="preserve">
The “Science, Technology, Engineering and Mathematics” cluster is divided into two pathways. Pathways are grouped by the knowledge and skills required of occupations in these career fields. Learners need a solid background in math, science, and technical skills. 
The two pathways are (i) Science &amp; Mathematics, and (ii) Engineering &amp; Technology. </t>
    </r>
  </si>
  <si>
    <t>M</t>
  </si>
  <si>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V - Arts / Communications
</t>
    </r>
    <r>
      <rPr>
        <sz val="10"/>
        <color theme="1"/>
        <rFont val="Calibri"/>
        <family val="2"/>
        <scheme val="minor"/>
      </rPr>
      <t xml:space="preserve">
The “Arts, A/V Technology and Communication” cluster is divided into six pathways. Pathways are grouped by the knowledge and skills required of occupations in these career fields. Learners need a strong background in computer and electronic based technology and a solid foundation in math, science and oral/written communication. 
The six pathways are (i) Visual Arts, (ii) Performing Arts, (iii) Audio/Video Technology, (iv) Journalism &amp; Broadcasting, (v) Telecommunications &amp; Technology, and (vi) Printing Technology.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</si>
  <si>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T - Hospitality / Tourism</t>
    </r>
    <r>
      <rPr>
        <sz val="10"/>
        <color theme="1"/>
        <rFont val="Calibri"/>
        <family val="2"/>
        <scheme val="minor"/>
      </rPr>
      <t xml:space="preserve">
The “Hospitality and Tourism” cluster is divided into four pathways. Pathways are grouped by the knowledge and skills required of occupations in these career fields. Learners need a solid background in math, science and technical skills. 
The four pathways are (i) Lodging and Housekeeping Services, (ii) Food Production and Services, (iii) Recreation, Gaming &amp; Sports, and (iv) Travel and Tourism Services. </t>
    </r>
  </si>
  <si>
    <r>
      <rPr>
        <b/>
        <sz val="10"/>
        <color theme="1"/>
        <rFont val="Calibri"/>
        <family val="2"/>
        <scheme val="minor"/>
      </rPr>
      <t>Dominant Type:</t>
    </r>
    <r>
      <rPr>
        <sz val="10"/>
        <color theme="1"/>
        <rFont val="Calibri"/>
        <family val="2"/>
        <scheme val="minor"/>
      </rPr>
      <t xml:space="preserve">  I - Information Technology</t>
    </r>
    <r>
      <rPr>
        <i/>
        <sz val="10"/>
        <color theme="1"/>
        <rFont val="Calibri"/>
        <family val="2"/>
        <scheme val="minor"/>
      </rPr>
      <t xml:space="preserve">
</t>
    </r>
    <r>
      <rPr>
        <sz val="10"/>
        <color theme="1"/>
        <rFont val="Calibri"/>
        <family val="2"/>
        <scheme val="minor"/>
      </rPr>
      <t xml:space="preserve">
The “Information Technology” cluster is divided into four pathways. Pathways are grouped by the knowledge and skills required of occupations in these career fields. Learners need a solid background in math and science. 
The four pathways are (i) Information Support and Services, (ii) Programming and Software Development (iii) Network Systems, and (iv) Interactive Media. </t>
    </r>
  </si>
  <si>
    <r>
      <rPr>
        <b/>
        <sz val="10"/>
        <color theme="1"/>
        <rFont val="Calibri"/>
        <family val="2"/>
        <scheme val="minor"/>
      </rPr>
      <t>Dominant Type:</t>
    </r>
    <r>
      <rPr>
        <sz val="10"/>
        <color theme="1"/>
        <rFont val="Calibri"/>
        <family val="2"/>
        <scheme val="minor"/>
      </rPr>
      <t xml:space="preserve">  P - Public Safety</t>
    </r>
    <r>
      <rPr>
        <i/>
        <sz val="10"/>
        <color theme="1"/>
        <rFont val="Calibri"/>
        <family val="2"/>
        <scheme val="minor"/>
      </rPr>
      <t xml:space="preserve">
</t>
    </r>
    <r>
      <rPr>
        <sz val="10"/>
        <color theme="1"/>
        <rFont val="Calibri"/>
        <family val="2"/>
        <scheme val="minor"/>
      </rPr>
      <t xml:space="preserve">
The “Law, Public Safety, Corrections and Security” cluster is divided into three pathways. Pathways are grouped by the knowledge and skills required of occupations in these career fields. Learners need a solid background in math, science and technical skills. 
The three pathways are (i) Law and Legal Public Services, (ii) Criminal Justice and Corrections, and (iii) Fire Protection.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</si>
  <si>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C - Construction / Architecture
</t>
    </r>
    <r>
      <rPr>
        <sz val="10"/>
        <color theme="1"/>
        <rFont val="Calibri"/>
        <family val="2"/>
        <scheme val="minor"/>
      </rPr>
      <t xml:space="preserve">
The “Construction and Architecture” cluster is divided into three pathways. Pathways are grouped by the knowledge and skills required of occupations in these career fields. Learners need a solid background in math, science and technical skills. 
The three pathways are (i) Preconstruction and Design, (ii) Construction, and (iii) Maintenance &amp; Operations. </t>
    </r>
  </si>
  <si>
    <r>
      <rPr>
        <b/>
        <sz val="10"/>
        <color theme="1"/>
        <rFont val="Calibri"/>
        <family val="2"/>
        <scheme val="minor"/>
      </rPr>
      <t>Dominant Type:</t>
    </r>
    <r>
      <rPr>
        <sz val="10"/>
        <color theme="1"/>
        <rFont val="Calibri"/>
        <family val="2"/>
        <scheme val="minor"/>
      </rPr>
      <t xml:space="preserve">  B - Management / Admin</t>
    </r>
    <r>
      <rPr>
        <i/>
        <sz val="10"/>
        <color theme="1"/>
        <rFont val="Calibri"/>
        <family val="2"/>
        <scheme val="minor"/>
      </rPr>
      <t xml:space="preserve">
</t>
    </r>
    <r>
      <rPr>
        <sz val="10"/>
        <color theme="1"/>
        <rFont val="Calibri"/>
        <family val="2"/>
        <scheme val="minor"/>
      </rPr>
      <t xml:space="preserve">
The “Business Management and Administration” cluster is divided into six pathways. Pathways are grouped by the knowledge and skills required of occupations in these career fields. Learners need a solid background in math, science and technical skills. 
The six pathways are (i) Financial Management and Accounting, (ii) Human Resources, (iii) Administrative and Information Support, (iv) Business Analysis, (v) Management, and (vi) Marketing and Communications </t>
    </r>
  </si>
  <si>
    <r>
      <rPr>
        <b/>
        <sz val="10"/>
        <color theme="1"/>
        <rFont val="Calibri"/>
        <family val="2"/>
        <scheme val="minor"/>
      </rPr>
      <t>Dominant Type:</t>
    </r>
    <r>
      <rPr>
        <sz val="10"/>
        <color theme="1"/>
        <rFont val="Calibri"/>
        <family val="2"/>
        <scheme val="minor"/>
      </rPr>
      <t xml:space="preserve"> E - Education / Training</t>
    </r>
    <r>
      <rPr>
        <i/>
        <sz val="10"/>
        <color theme="1"/>
        <rFont val="Calibri"/>
        <family val="2"/>
        <scheme val="minor"/>
      </rPr>
      <t xml:space="preserve">
</t>
    </r>
    <r>
      <rPr>
        <sz val="10"/>
        <color theme="1"/>
        <rFont val="Calibri"/>
        <family val="2"/>
        <scheme val="minor"/>
      </rPr>
      <t xml:space="preserve">
The “Education and Training” cluster is divided into four pathways. Pathways are grouped by the knowledge and skills required of occupations in these career fields. Learners need a solid background in academic, technical and presentation/facilitation skills. 
The four pathways are (i) Teaching and Training, (ii) Professional Support Services, (iii) Child Care and Teacher Aides, and (iv) Education Administration and Administrative Support.  </t>
    </r>
  </si>
  <si>
    <r>
      <rPr>
        <b/>
        <sz val="10"/>
        <color theme="1"/>
        <rFont val="Calibri"/>
        <family val="2"/>
        <scheme val="minor"/>
      </rPr>
      <t>Dominant Type:</t>
    </r>
    <r>
      <rPr>
        <sz val="10"/>
        <color theme="1"/>
        <rFont val="Calibri"/>
        <family val="2"/>
        <scheme val="minor"/>
      </rPr>
      <t xml:space="preserve">  G - Govt. / Public Admin
</t>
    </r>
    <r>
      <rPr>
        <i/>
        <sz val="10"/>
        <color theme="1"/>
        <rFont val="Calibri"/>
        <family val="2"/>
        <scheme val="minor"/>
      </rPr>
      <t xml:space="preserve">
</t>
    </r>
    <r>
      <rPr>
        <sz val="10"/>
        <color theme="1"/>
        <rFont val="Calibri"/>
        <family val="2"/>
        <scheme val="minor"/>
      </rPr>
      <t>The “Government and Public Administration” cluster is divided into six pathways. Pathways are grouped by the knowledge and skills required of occupations in these career fields. Learners need a solid background in social studies, political science, and history. 
The six pathways are (i) Planning, (ii) Revenue &amp; Taxation, (iii) Governance, (iv) Regulation, (v) National Security,  and (vi) Foreign Service</t>
    </r>
  </si>
  <si>
    <r>
      <rPr>
        <b/>
        <sz val="10"/>
        <color theme="1"/>
        <rFont val="Calibri"/>
        <family val="2"/>
        <scheme val="minor"/>
      </rPr>
      <t>Dominant Type:</t>
    </r>
    <r>
      <rPr>
        <sz val="10"/>
        <color theme="1"/>
        <rFont val="Calibri"/>
        <family val="2"/>
        <scheme val="minor"/>
      </rPr>
      <t xml:space="preserve">   F - Finance </t>
    </r>
    <r>
      <rPr>
        <i/>
        <sz val="10"/>
        <color theme="1"/>
        <rFont val="Calibri"/>
        <family val="2"/>
        <scheme val="minor"/>
      </rPr>
      <t xml:space="preserve">
</t>
    </r>
    <r>
      <rPr>
        <sz val="10"/>
        <color theme="1"/>
        <rFont val="Calibri"/>
        <family val="2"/>
        <scheme val="minor"/>
      </rPr>
      <t xml:space="preserve">
The “Finance” cluster is divided into four pathways. Pathways are grouped by the knowledge and skills required of occupations in these career fields.  Learners need a solid background in math and technical skills. 
The four pathways are (i) Banking and Related Services, (ii) Insurance Services, (iii) Business Financial Management, and (iv) Financial and Investment Planning. </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</si>
  <si>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N - Marketing and Sales</t>
    </r>
    <r>
      <rPr>
        <sz val="10"/>
        <color theme="1"/>
        <rFont val="Calibri"/>
        <family val="2"/>
        <scheme val="minor"/>
      </rPr>
      <t xml:space="preserve">
The “marketing and sales” cluster is divided into four pathways. Pathways are grouped by the knowledge and skills required of occupations in these career fields. Learners need a solid background in communication, math and technical skills. 
The four pathways are (i) Merchandising and Sales, (ii) Promotion and Public Relations, (iii) General Distribution, and (iv) Management / Entrepreneurship. </t>
    </r>
  </si>
  <si>
    <r>
      <rPr>
        <b/>
        <sz val="10"/>
        <color theme="1"/>
        <rFont val="Calibri"/>
        <family val="2"/>
        <scheme val="minor"/>
      </rPr>
      <t>Dominant Type:</t>
    </r>
    <r>
      <rPr>
        <sz val="10"/>
        <color theme="1"/>
        <rFont val="Calibri"/>
        <family val="2"/>
        <scheme val="minor"/>
      </rPr>
      <t xml:space="preserve">  H</t>
    </r>
    <r>
      <rPr>
        <i/>
        <sz val="10"/>
        <color theme="1"/>
        <rFont val="Calibri"/>
        <family val="2"/>
        <scheme val="minor"/>
      </rPr>
      <t xml:space="preserve"> - Health Science</t>
    </r>
    <r>
      <rPr>
        <sz val="10"/>
        <color theme="1"/>
        <rFont val="Calibri"/>
        <family val="2"/>
        <scheme val="minor"/>
      </rPr>
      <t xml:space="preserve">
The “Health Sciences” cluster is divided into five pathways. Pathways are grouped by the knowledge and skills required of occupations in these career fields. Learners need a solid background in math, science, communications and technical skills. 
The five pathways are (i) Therapeutic Services, (ii) Diagnostic Services, (iii) Information and Communication Services, (iv)Support Services, &amp; (v) Biotechnology and Pharmaceutical Services.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</si>
  <si>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M - Manufacturing</t>
    </r>
    <r>
      <rPr>
        <sz val="10"/>
        <color theme="1"/>
        <rFont val="Calibri"/>
        <family val="2"/>
        <scheme val="minor"/>
      </rPr>
      <t xml:space="preserve">
The manufacturing career cluster is divided into four pathways. Pathways are grouped by the knowledge and skills required of occupations in these career fields. Learners need a solid background in math, science and technical skills. 
The four pathways are (i) Precision Metal Production, (ii) Precision Technology Processes, (iii) Electromechanical Installation and Maintenance, and (iv) Production Design, Operations and Maintenance. </t>
    </r>
  </si>
  <si>
    <t xml:space="preserve">SECTIoN C (fill with 1 or 0 only) </t>
  </si>
  <si>
    <t>ISTJ</t>
  </si>
  <si>
    <t>ESTJ</t>
  </si>
  <si>
    <t>ISFJ</t>
  </si>
  <si>
    <t>ESFJ</t>
  </si>
  <si>
    <t>ISTP</t>
  </si>
  <si>
    <t>ESTP</t>
  </si>
  <si>
    <t>ESFP</t>
  </si>
  <si>
    <t>ISFP</t>
  </si>
  <si>
    <t>ENTJ</t>
  </si>
  <si>
    <t>INTJ</t>
  </si>
  <si>
    <t>ENTP</t>
  </si>
  <si>
    <t>INTP</t>
  </si>
  <si>
    <t>ENFJ</t>
  </si>
  <si>
    <t>INFJ</t>
  </si>
  <si>
    <t>ENFP</t>
  </si>
  <si>
    <t>INFP</t>
  </si>
  <si>
    <t>Natural Resource Management</t>
  </si>
  <si>
    <r>
      <rPr>
        <b/>
        <sz val="10"/>
        <color theme="1"/>
        <rFont val="Calibri"/>
        <family val="2"/>
        <scheme val="minor"/>
      </rPr>
      <t>Dominant Type:</t>
    </r>
    <r>
      <rPr>
        <i/>
        <sz val="10"/>
        <color theme="1"/>
        <rFont val="Calibri"/>
        <family val="2"/>
        <scheme val="minor"/>
      </rPr>
      <t xml:space="preserve">  A - Natural Resource</t>
    </r>
    <r>
      <rPr>
        <sz val="10"/>
        <color theme="1"/>
        <rFont val="Calibri"/>
        <family val="2"/>
        <scheme val="minor"/>
      </rPr>
      <t xml:space="preserve">
The “Natural Resource Management” cluster is divided into five pathways. Pathways are grouped by the knowledge and skills required of occupations in these career fields. Learners need a solid background in math, science, communication, and technical skills. 
The five pathways are (i) Agriculture Management, Production, and Operations, (ii) Horticulture, Landscaping, and Groundskeeping, (iii) Agriculture Sciences, Processes &amp; Support Services, (iv) Mining and Operations, and (v) Conservation &amp; Natural Resources</t>
    </r>
  </si>
  <si>
    <r>
      <rPr>
        <b/>
        <sz val="10"/>
        <color theme="1"/>
        <rFont val="Calibri"/>
        <family val="2"/>
        <scheme val="minor"/>
      </rPr>
      <t>Dominant Type:</t>
    </r>
    <r>
      <rPr>
        <sz val="10"/>
        <color theme="1"/>
        <rFont val="Calibri"/>
        <family val="2"/>
        <scheme val="minor"/>
      </rPr>
      <t xml:space="preserve">  </t>
    </r>
    <r>
      <rPr>
        <i/>
        <sz val="10"/>
        <color theme="1"/>
        <rFont val="Calibri"/>
        <family val="2"/>
        <scheme val="minor"/>
      </rPr>
      <t xml:space="preserve">D - Logistics and Distribution 
</t>
    </r>
    <r>
      <rPr>
        <sz val="10"/>
        <color theme="1"/>
        <rFont val="Calibri"/>
        <family val="2"/>
        <scheme val="minor"/>
      </rPr>
      <t xml:space="preserve">
The “Logistics and Distribution Management ” cluster is divided into seven pathways. Pathways are grouped by the knowledge and skills required of occupations in these career fields. Learners need a solid background in communications, math, science and technology. 
The seven pathways are (i) Transportation operations, (ii) Logistics planning and management services, (iii) Warehousing and distribution center operations, (iv) Sales and Service, (v) Facility and mobile equipment maintenance,  (vi) Risk Management and Health and Safety Management, and (vii) Transportation Systems / Insfrastructure Planning, and Regulations.</t>
    </r>
  </si>
  <si>
    <t xml:space="preserve">Logistics and Distribution Management </t>
  </si>
  <si>
    <t>DASHBOARD FOR ONLINE ASSESSMENTS</t>
  </si>
  <si>
    <t>Student Name</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</si>
  <si>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</si>
  <si>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</si>
  <si>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</si>
  <si>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</si>
  <si>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</si>
  <si>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</si>
  <si>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</si>
  <si>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</si>
  <si>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</si>
  <si>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</si>
  <si>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</si>
  <si>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</si>
  <si>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</si>
  <si>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</si>
  <si>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</si>
  <si>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</si>
  <si>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</si>
  <si>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</si>
  <si>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</si>
  <si>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</si>
  <si>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</si>
  <si>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</si>
  <si>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</si>
  <si>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</si>
  <si>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</si>
  <si>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</si>
  <si>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</si>
  <si>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</si>
  <si>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</si>
  <si>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</si>
  <si>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</si>
  <si>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</si>
  <si>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</si>
  <si>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</si>
  <si>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</si>
  <si>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</si>
  <si>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</si>
  <si>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</si>
  <si>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</si>
  <si>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</si>
  <si>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</si>
  <si>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</si>
  <si>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</si>
  <si>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</si>
  <si>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</si>
  <si>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</si>
  <si>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</si>
  <si>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</si>
  <si>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</si>
  <si>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</si>
  <si>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</si>
  <si>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</si>
  <si>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</si>
  <si>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</si>
  <si>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</si>
  <si>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</si>
  <si>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</si>
  <si>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</si>
  <si>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</si>
  <si>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</si>
  <si>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</si>
  <si>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</si>
  <si>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</si>
  <si>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</si>
  <si>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</si>
  <si>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</si>
  <si>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</si>
  <si>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</si>
  <si>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</si>
  <si>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</si>
  <si>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</si>
  <si>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</si>
  <si>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</si>
  <si>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</si>
  <si>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</si>
  <si>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</si>
  <si>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</si>
  <si>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</si>
  <si>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</si>
  <si>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</si>
  <si>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</si>
  <si>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</si>
  <si>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</si>
  <si>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</si>
  <si>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</si>
  <si>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</si>
  <si>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</si>
  <si>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</si>
  <si>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</si>
  <si>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</si>
  <si>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</si>
  <si>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</si>
  <si>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</si>
  <si>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</si>
  <si>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</si>
  <si>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</si>
  <si>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</si>
  <si>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</si>
  <si>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</si>
  <si>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</si>
  <si>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</si>
  <si>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</si>
  <si>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</si>
  <si>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</si>
  <si>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</si>
  <si>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</si>
  <si>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</si>
  <si>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</si>
  <si>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</si>
  <si>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</si>
  <si>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</si>
  <si>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</si>
  <si>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</si>
  <si>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</si>
  <si>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</si>
  <si>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</si>
  <si>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</si>
  <si>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</si>
  <si>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</si>
  <si>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</si>
  <si>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</si>
  <si>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</si>
  <si>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</si>
  <si>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</si>
  <si>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</si>
  <si>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</si>
  <si>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</si>
  <si>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</si>
  <si>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</si>
  <si>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</si>
  <si>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</si>
  <si>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</si>
  <si>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</si>
  <si>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</si>
  <si>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</si>
  <si>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</si>
  <si>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</si>
  <si>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</si>
  <si>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</si>
  <si>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</si>
  <si>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</si>
  <si>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</si>
  <si>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Q143</t>
  </si>
  <si>
    <t>Q144</t>
  </si>
  <si>
    <t>Q145</t>
  </si>
  <si>
    <t>Q146</t>
  </si>
  <si>
    <t>Q147</t>
  </si>
  <si>
    <t>Q148</t>
  </si>
  <si>
    <t>Q149</t>
  </si>
  <si>
    <t>Q150</t>
  </si>
  <si>
    <t>Q151</t>
  </si>
  <si>
    <t>Q152</t>
  </si>
  <si>
    <t>Q153</t>
  </si>
  <si>
    <t>Q154</t>
  </si>
  <si>
    <t>Q155</t>
  </si>
  <si>
    <t>Q156</t>
  </si>
  <si>
    <t>Q157</t>
  </si>
  <si>
    <t>Q158</t>
  </si>
  <si>
    <t>Q159</t>
  </si>
  <si>
    <t>Q160</t>
  </si>
  <si>
    <t>Q161</t>
  </si>
  <si>
    <t>Q162</t>
  </si>
  <si>
    <t>Q163</t>
  </si>
  <si>
    <t>Q164</t>
  </si>
  <si>
    <t>Q165</t>
  </si>
  <si>
    <t>Q166</t>
  </si>
  <si>
    <t>Q167</t>
  </si>
  <si>
    <t>Q168</t>
  </si>
  <si>
    <t>Q169</t>
  </si>
  <si>
    <t>Q170</t>
  </si>
  <si>
    <t>Q171</t>
  </si>
  <si>
    <t>Q172</t>
  </si>
  <si>
    <t>Q173</t>
  </si>
  <si>
    <t>Q174</t>
  </si>
  <si>
    <t>Q175</t>
  </si>
  <si>
    <t>Q176</t>
  </si>
  <si>
    <t>Q177</t>
  </si>
  <si>
    <t>Q178</t>
  </si>
  <si>
    <t>Q179</t>
  </si>
  <si>
    <t>Q180</t>
  </si>
  <si>
    <t>Q181</t>
  </si>
  <si>
    <t>Q182</t>
  </si>
  <si>
    <t>Q183</t>
  </si>
  <si>
    <t>Q184</t>
  </si>
  <si>
    <t>Q185</t>
  </si>
  <si>
    <t>Q186</t>
  </si>
  <si>
    <t>Q187</t>
  </si>
  <si>
    <t>Q188</t>
  </si>
  <si>
    <t>Q189</t>
  </si>
  <si>
    <t>Q190</t>
  </si>
  <si>
    <t>Q191</t>
  </si>
  <si>
    <t>Q192</t>
  </si>
  <si>
    <t>Q193</t>
  </si>
  <si>
    <t>Q194</t>
  </si>
  <si>
    <t>Q195</t>
  </si>
  <si>
    <t>Q196</t>
  </si>
  <si>
    <t>Q197</t>
  </si>
  <si>
    <t>Q198</t>
  </si>
  <si>
    <t>Q199</t>
  </si>
  <si>
    <t>Q200</t>
  </si>
  <si>
    <t>Q201</t>
  </si>
  <si>
    <t>Q202</t>
  </si>
  <si>
    <t>Q203</t>
  </si>
  <si>
    <t>Q204</t>
  </si>
  <si>
    <t>Q205</t>
  </si>
  <si>
    <t>Q206</t>
  </si>
  <si>
    <t>Q207</t>
  </si>
  <si>
    <t>Q208</t>
  </si>
  <si>
    <t>Q209</t>
  </si>
  <si>
    <t>Q210</t>
  </si>
  <si>
    <t>Q211</t>
  </si>
  <si>
    <t>Q212</t>
  </si>
  <si>
    <t>Q213</t>
  </si>
  <si>
    <t>Q214</t>
  </si>
  <si>
    <t>Q215</t>
  </si>
  <si>
    <t>Q216</t>
  </si>
  <si>
    <t>Q217</t>
  </si>
  <si>
    <t>Q218</t>
  </si>
  <si>
    <t>Q219</t>
  </si>
  <si>
    <t>Q220</t>
  </si>
  <si>
    <t>Q221</t>
  </si>
  <si>
    <t>Q222</t>
  </si>
  <si>
    <t>Q223</t>
  </si>
  <si>
    <t>Q224</t>
  </si>
  <si>
    <t>Q225</t>
  </si>
  <si>
    <t>Q226</t>
  </si>
  <si>
    <t>Q227</t>
  </si>
  <si>
    <t>Q228</t>
  </si>
  <si>
    <t>Q229</t>
  </si>
  <si>
    <t>Q230</t>
  </si>
  <si>
    <t>Q231</t>
  </si>
  <si>
    <t>Q232</t>
  </si>
  <si>
    <t>Q233</t>
  </si>
  <si>
    <t>Q234</t>
  </si>
  <si>
    <t>Q235</t>
  </si>
  <si>
    <t>Q236</t>
  </si>
  <si>
    <t>Q237</t>
  </si>
  <si>
    <t>Q238</t>
  </si>
  <si>
    <t>Q239</t>
  </si>
  <si>
    <t>Q240</t>
  </si>
  <si>
    <t>Q241</t>
  </si>
  <si>
    <t>Q242</t>
  </si>
  <si>
    <t>Q243</t>
  </si>
  <si>
    <t>Q244</t>
  </si>
  <si>
    <t>Q245</t>
  </si>
  <si>
    <t>Q246</t>
  </si>
  <si>
    <t>Q247</t>
  </si>
  <si>
    <t>Q248</t>
  </si>
  <si>
    <t>Q249</t>
  </si>
  <si>
    <t>Q250</t>
  </si>
  <si>
    <t>Q251</t>
  </si>
  <si>
    <t>Q252</t>
  </si>
  <si>
    <t>Q253</t>
  </si>
  <si>
    <t>Q254</t>
  </si>
  <si>
    <t>Q255</t>
  </si>
  <si>
    <t>Q256</t>
  </si>
  <si>
    <t>Q257</t>
  </si>
  <si>
    <t>Q258</t>
  </si>
  <si>
    <t>Q259</t>
  </si>
  <si>
    <t>Q260</t>
  </si>
  <si>
    <t>Q261</t>
  </si>
  <si>
    <t>Q262</t>
  </si>
  <si>
    <t>Q263</t>
  </si>
  <si>
    <t>Q264</t>
  </si>
  <si>
    <t>Q265</t>
  </si>
  <si>
    <t>Q266</t>
  </si>
  <si>
    <t>Q267</t>
  </si>
  <si>
    <t>Q268</t>
  </si>
  <si>
    <t>Q269</t>
  </si>
  <si>
    <t>Q270</t>
  </si>
  <si>
    <t>Q271</t>
  </si>
  <si>
    <t>Q272</t>
  </si>
  <si>
    <t>Q273</t>
  </si>
  <si>
    <t>Q274</t>
  </si>
  <si>
    <t>Q275</t>
  </si>
  <si>
    <t>Q276</t>
  </si>
  <si>
    <t>Q277</t>
  </si>
  <si>
    <t>Q278</t>
  </si>
  <si>
    <t>Q279</t>
  </si>
  <si>
    <t>Section B</t>
  </si>
  <si>
    <t>Section C</t>
  </si>
  <si>
    <t>Insert student answers here</t>
  </si>
  <si>
    <t>E or I</t>
  </si>
  <si>
    <t>S or N</t>
  </si>
  <si>
    <t>T or F</t>
  </si>
  <si>
    <t>J or P</t>
  </si>
  <si>
    <t>Section D</t>
  </si>
  <si>
    <t>Section E</t>
  </si>
  <si>
    <t>Section F</t>
  </si>
  <si>
    <t xml:space="preserve">1a </t>
  </si>
  <si>
    <t>1b</t>
  </si>
  <si>
    <t>1c</t>
  </si>
  <si>
    <t>1d</t>
  </si>
  <si>
    <t>1e</t>
  </si>
  <si>
    <t>2a</t>
  </si>
  <si>
    <t>2b</t>
  </si>
  <si>
    <t>2c</t>
  </si>
  <si>
    <t>2d</t>
  </si>
  <si>
    <t>2e</t>
  </si>
  <si>
    <t>3a</t>
  </si>
  <si>
    <t>3b</t>
  </si>
  <si>
    <t>3c</t>
  </si>
  <si>
    <t>3d</t>
  </si>
  <si>
    <t>4a</t>
  </si>
  <si>
    <t>4b</t>
  </si>
  <si>
    <t>4c</t>
  </si>
  <si>
    <t>4d</t>
  </si>
  <si>
    <t>4e</t>
  </si>
  <si>
    <r>
      <rPr>
        <b/>
        <sz val="10"/>
        <color theme="1"/>
        <rFont val="Calibri"/>
        <family val="2"/>
        <scheme val="minor"/>
      </rPr>
      <t>Grade:</t>
    </r>
    <r>
      <rPr>
        <sz val="10"/>
        <color theme="1"/>
        <rFont val="Calibri"/>
        <family val="2"/>
        <scheme val="minor"/>
      </rPr>
      <t xml:space="preserve">  A Level</t>
    </r>
  </si>
  <si>
    <r>
      <rPr>
        <b/>
        <sz val="10"/>
        <color theme="1"/>
        <rFont val="Calibri"/>
        <family val="2"/>
        <scheme val="minor"/>
      </rPr>
      <t>Date :</t>
    </r>
    <r>
      <rPr>
        <sz val="10"/>
        <color theme="1"/>
        <rFont val="Calibri"/>
        <family val="2"/>
        <scheme val="minor"/>
      </rPr>
      <t xml:space="preserve">   July 2022</t>
    </r>
  </si>
  <si>
    <r>
      <rPr>
        <b/>
        <sz val="10"/>
        <color theme="1"/>
        <rFont val="Calibri"/>
        <family val="2"/>
        <scheme val="minor"/>
      </rPr>
      <t>School:</t>
    </r>
    <r>
      <rPr>
        <sz val="10"/>
        <color theme="1"/>
        <rFont val="Calibri"/>
        <family val="2"/>
        <scheme val="minor"/>
      </rPr>
      <t xml:space="preserve">  Nixor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</si>
</sst>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i/>
      <sz val="11"/>
      <color theme="1"/>
      <name val="Calibri"/>
      <family val="2"/>
      <scheme val="minor"/>
    </font>
    <font>
      <b/>
      <sz val="18"/>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2"/>
      <color theme="1"/>
      <name val="Calibri"/>
      <family val="2"/>
      <scheme val="minor"/>
    </font>
    <font>
      <sz val="11"/>
      <color theme="0"/>
      <name val="Calibri"/>
      <family val="2"/>
      <scheme val="minor"/>
    </font>
    <font>
      <sz val="11"/>
      <name val="Calibri"/>
      <family val="2"/>
      <scheme val="minor"/>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B0F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bottom/>
      <diagonal/>
    </border>
    <border>
      <left/>
      <right style="medium">
        <color indexed="64"/>
      </right>
      <top/>
      <bottom/>
      <diagonal/>
    </border>
    <border>
      <left style="medium">
        <color indexed="64"/>
      </left>
      <right style="hair">
        <color indexed="64"/>
      </right>
      <top/>
      <bottom style="medium">
        <color indexed="64"/>
      </bottom>
      <diagonal/>
    </border>
    <border>
      <left/>
      <right/>
      <top/>
      <bottom style="double">
        <color auto="1"/>
      </bottom>
      <diagonal/>
    </border>
    <border>
      <left style="medium">
        <color indexed="64"/>
      </left>
      <right style="hair">
        <color indexed="64"/>
      </right>
      <top style="double">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83">
    <xf numFmtId="0" fontId="0" fillId="0" borderId="0" xfId="0"/>
    <xf numFmtId="0" fontId="0" fillId="2" borderId="0" xfId="0" applyFill="1"/>
    <xf numFmtId="0" fontId="0" fillId="3" borderId="0" xfId="0" applyFill="1"/>
    <xf numFmtId="0" fontId="2" fillId="0" borderId="0" xfId="0" applyFont="1" applyAlignment="1">
      <alignment horizontal="center"/>
    </xf>
    <xf numFmtId="0" fontId="0" fillId="0" borderId="0" xfId="0" applyAlignment="1">
      <alignment wrapText="1"/>
    </xf>
    <xf numFmtId="0" fontId="0" fillId="0" borderId="6" xfId="0" applyBorder="1"/>
    <xf numFmtId="0" fontId="0" fillId="3" borderId="0" xfId="0" applyFill="1" applyAlignment="1">
      <alignment vertical="center"/>
    </xf>
    <xf numFmtId="0" fontId="0" fillId="0" borderId="0" xfId="0" applyAlignment="1">
      <alignment vertical="center"/>
    </xf>
    <xf numFmtId="0" fontId="0" fillId="0" borderId="2" xfId="0" applyBorder="1"/>
    <xf numFmtId="0" fontId="3" fillId="3" borderId="0" xfId="0" applyFont="1" applyFill="1"/>
    <xf numFmtId="0" fontId="1" fillId="3" borderId="0" xfId="0" applyFont="1" applyFill="1"/>
    <xf numFmtId="0" fontId="5" fillId="3" borderId="0" xfId="0" applyFont="1" applyFill="1"/>
    <xf numFmtId="0" fontId="5" fillId="3" borderId="0" xfId="0" applyFont="1" applyFill="1" applyAlignment="1">
      <alignment horizontal="left" vertical="center" wrapText="1"/>
    </xf>
    <xf numFmtId="0" fontId="5" fillId="3" borderId="0" xfId="0" applyFont="1" applyFill="1" applyAlignment="1">
      <alignment horizontal="left" vertical="center"/>
    </xf>
    <xf numFmtId="0" fontId="5" fillId="3" borderId="0" xfId="0" applyFont="1" applyFill="1" applyAlignment="1">
      <alignment wrapText="1"/>
    </xf>
    <xf numFmtId="0" fontId="0" fillId="5" borderId="10" xfId="0" applyFill="1" applyBorder="1"/>
    <xf numFmtId="0" fontId="0" fillId="3" borderId="1" xfId="0" applyFill="1" applyBorder="1"/>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0" xfId="0" applyFill="1" applyAlignment="1">
      <alignment wrapText="1"/>
    </xf>
    <xf numFmtId="0" fontId="4" fillId="3" borderId="0" xfId="0" applyFont="1" applyFill="1" applyAlignment="1">
      <alignment horizontal="center"/>
    </xf>
    <xf numFmtId="0" fontId="8" fillId="3" borderId="0" xfId="0" applyFont="1" applyFill="1" applyAlignment="1">
      <alignment horizontal="left"/>
    </xf>
    <xf numFmtId="0" fontId="0" fillId="3" borderId="0" xfId="0" applyFill="1" applyAlignment="1">
      <alignment horizontal="left"/>
    </xf>
    <xf numFmtId="0" fontId="5" fillId="0" borderId="0" xfId="0" applyFont="1" applyAlignment="1">
      <alignment horizontal="left" vertical="center" wrapText="1"/>
    </xf>
    <xf numFmtId="0" fontId="0" fillId="6" borderId="12" xfId="0" applyFill="1" applyBorder="1"/>
    <xf numFmtId="0" fontId="0" fillId="6" borderId="13" xfId="0" applyFill="1" applyBorder="1"/>
    <xf numFmtId="0" fontId="0" fillId="6" borderId="11" xfId="0" applyFill="1" applyBorder="1"/>
    <xf numFmtId="0" fontId="0" fillId="7" borderId="11" xfId="0" applyFill="1" applyBorder="1"/>
    <xf numFmtId="0" fontId="0" fillId="2" borderId="1" xfId="0" applyFill="1" applyBorder="1"/>
    <xf numFmtId="0" fontId="3" fillId="2" borderId="21" xfId="0" applyFont="1" applyFill="1" applyBorder="1" applyAlignment="1">
      <alignment horizontal="center"/>
    </xf>
    <xf numFmtId="0" fontId="3" fillId="2" borderId="22" xfId="0" applyFont="1" applyFill="1" applyBorder="1" applyAlignment="1">
      <alignment horizontal="center"/>
    </xf>
    <xf numFmtId="0" fontId="9" fillId="3" borderId="1" xfId="0" applyFont="1" applyFill="1" applyBorder="1"/>
    <xf numFmtId="0" fontId="0" fillId="7" borderId="13" xfId="0" applyFill="1" applyBorder="1"/>
    <xf numFmtId="0" fontId="10" fillId="6" borderId="13" xfId="0" applyFont="1" applyFill="1" applyBorder="1"/>
    <xf numFmtId="0" fontId="0" fillId="3" borderId="18" xfId="0" applyFill="1" applyBorder="1"/>
    <xf numFmtId="0" fontId="0" fillId="3" borderId="23" xfId="0" applyFill="1" applyBorder="1"/>
    <xf numFmtId="0" fontId="0" fillId="3" borderId="19" xfId="0" applyFill="1" applyBorder="1"/>
    <xf numFmtId="0" fontId="0" fillId="3" borderId="24" xfId="0" applyFill="1" applyBorder="1"/>
    <xf numFmtId="0" fontId="0" fillId="3" borderId="20" xfId="0" applyFill="1" applyBorder="1"/>
    <xf numFmtId="0" fontId="0" fillId="3" borderId="14" xfId="0" applyFill="1" applyBorder="1"/>
    <xf numFmtId="0" fontId="10" fillId="6" borderId="11" xfId="0" applyFont="1" applyFill="1" applyBorder="1"/>
    <xf numFmtId="0" fontId="0" fillId="3" borderId="0" xfId="0" applyFill="1" applyAlignment="1">
      <alignment horizontal="right"/>
    </xf>
    <xf numFmtId="0" fontId="5" fillId="8" borderId="0" xfId="0" applyFont="1" applyFill="1" applyAlignment="1">
      <alignment horizontal="left"/>
    </xf>
    <xf numFmtId="0" fontId="0" fillId="3" borderId="6" xfId="0" applyFill="1" applyBorder="1"/>
    <xf numFmtId="0" fontId="0" fillId="3" borderId="2" xfId="0" applyFill="1" applyBorder="1"/>
    <xf numFmtId="0" fontId="0" fillId="3" borderId="0" xfId="0" applyFill="1" applyAlignment="1">
      <alignment horizontal="center"/>
    </xf>
    <xf numFmtId="0" fontId="5" fillId="3" borderId="0" xfId="0" applyFont="1" applyFill="1" applyAlignment="1">
      <alignment horizontal="center" vertical="center"/>
    </xf>
    <xf numFmtId="0" fontId="3" fillId="0" borderId="0" xfId="0" applyFont="1" applyAlignment="1">
      <alignment horizontal="center"/>
    </xf>
    <xf numFmtId="0" fontId="3" fillId="3" borderId="0" xfId="0" applyFont="1" applyFill="1" applyAlignment="1">
      <alignment horizontal="center"/>
    </xf>
    <xf numFmtId="0" fontId="0" fillId="0" borderId="0" xfId="0" applyAlignment="1">
      <alignment horizontal="center"/>
    </xf>
    <xf numFmtId="0" fontId="3" fillId="0" borderId="0" xfId="0" applyFont="1"/>
    <xf numFmtId="0" fontId="0" fillId="5" borderId="1" xfId="0" applyFill="1" applyBorder="1" applyAlignment="1">
      <alignment horizontal="center"/>
    </xf>
    <xf numFmtId="0" fontId="0" fillId="7" borderId="1" xfId="0" applyFill="1" applyBorder="1" applyAlignment="1">
      <alignment horizontal="center"/>
    </xf>
    <xf numFmtId="0" fontId="9" fillId="3" borderId="1" xfId="0" applyFont="1" applyFill="1" applyBorder="1" applyAlignment="1">
      <alignment horizontal="center"/>
    </xf>
    <xf numFmtId="0" fontId="0" fillId="2" borderId="1" xfId="0" applyFill="1" applyBorder="1" applyAlignment="1">
      <alignment horizontal="center"/>
    </xf>
    <xf numFmtId="0" fontId="0" fillId="5" borderId="28" xfId="0" applyFill="1" applyBorder="1" applyAlignment="1">
      <alignment horizontal="center"/>
    </xf>
    <xf numFmtId="0" fontId="0" fillId="5" borderId="29" xfId="0" applyFill="1" applyBorder="1" applyAlignment="1">
      <alignment horizontal="center"/>
    </xf>
    <xf numFmtId="0" fontId="0" fillId="5" borderId="26" xfId="0" applyFill="1" applyBorder="1" applyAlignment="1">
      <alignment horizontal="center"/>
    </xf>
    <xf numFmtId="0" fontId="0" fillId="5" borderId="27" xfId="0" applyFill="1" applyBorder="1" applyAlignment="1">
      <alignment horizontal="center"/>
    </xf>
    <xf numFmtId="0" fontId="0" fillId="4" borderId="0" xfId="0" applyFill="1" applyAlignment="1">
      <alignment horizontal="center"/>
    </xf>
    <xf numFmtId="0" fontId="0" fillId="5" borderId="25" xfId="0" applyFill="1" applyBorder="1" applyAlignment="1">
      <alignment horizontal="center"/>
    </xf>
    <xf numFmtId="0" fontId="3" fillId="0" borderId="30" xfId="0" applyFont="1" applyBorder="1"/>
    <xf numFmtId="0" fontId="3" fillId="9" borderId="30" xfId="0" applyFont="1" applyFill="1" applyBorder="1"/>
    <xf numFmtId="0" fontId="3" fillId="0" borderId="1" xfId="0" applyFont="1" applyBorder="1" applyAlignment="1">
      <alignment horizontal="center"/>
    </xf>
    <xf numFmtId="0" fontId="3" fillId="0" borderId="32"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4" fillId="9" borderId="18" xfId="0" applyFont="1" applyFill="1" applyBorder="1" applyAlignment="1">
      <alignment horizontal="center" vertical="center"/>
    </xf>
    <xf numFmtId="0" fontId="4" fillId="9" borderId="23" xfId="0" applyFont="1" applyFill="1" applyBorder="1" applyAlignment="1">
      <alignment horizontal="center" vertical="center"/>
    </xf>
    <xf numFmtId="0" fontId="4" fillId="9" borderId="19" xfId="0" applyFont="1" applyFill="1" applyBorder="1" applyAlignment="1">
      <alignment horizontal="center" vertical="center"/>
    </xf>
    <xf numFmtId="0" fontId="4" fillId="9" borderId="20" xfId="0" applyFont="1" applyFill="1" applyBorder="1" applyAlignment="1">
      <alignment horizontal="center" vertical="center"/>
    </xf>
    <xf numFmtId="0" fontId="4" fillId="9" borderId="14" xfId="0" applyFont="1" applyFill="1" applyBorder="1" applyAlignment="1">
      <alignment horizontal="center" vertical="center"/>
    </xf>
    <xf numFmtId="0" fontId="4" fillId="9" borderId="2" xfId="0" applyFont="1" applyFill="1" applyBorder="1" applyAlignment="1">
      <alignment horizontal="center" vertical="center"/>
    </xf>
    <xf numFmtId="0" fontId="3" fillId="0" borderId="31" xfId="0" applyFont="1" applyBorder="1" applyAlignment="1">
      <alignment horizont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4" fillId="0" borderId="8" xfId="0" applyFont="1" applyBorder="1" applyAlignment="1">
      <alignment horizontal="center"/>
    </xf>
    <xf numFmtId="0" fontId="5" fillId="0" borderId="9" xfId="0" applyFont="1" applyBorder="1" applyAlignment="1">
      <alignment horizontal="left" vertical="center" wrapText="1" indent="1"/>
    </xf>
    <xf numFmtId="0" fontId="5" fillId="0" borderId="7" xfId="0" applyFont="1" applyBorder="1" applyAlignment="1">
      <alignment horizontal="left" vertical="center" wrapText="1" indent="1"/>
    </xf>
    <xf numFmtId="0" fontId="4" fillId="3" borderId="0" xfId="0" applyFont="1" applyFill="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5" fillId="0" borderId="5"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colors>
    <mruColors>
      <color rgb="FFEB22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0"/>
    <c:plotArea>
      <c:layout/>
      <c:barChart>
        <c:barDir val="col"/>
        <c:grouping val="clustered"/>
        <c:varyColors val="0"/>
        <c:ser>
          <c:idx val="0"/>
          <c:order val="0"/>
          <c:invertIfNegative val="0"/>
          <c:cat>
            <c:numRef>
              <c:f>('SEC A &amp; B '!$A$6,'SEC A &amp; B '!$A$32,'SEC A &amp; B '!$A$37,'SEC A &amp; B '!$A$54,'SEC A &amp; B '!$A$70,'SEC A &amp; B '!$A$86)</c:f>
              <c:numCache>
                <c:formatCode>General</c:formatCode>
                <c:ptCount val="6"/>
              </c:numCache>
            </c:numRef>
          </c:cat>
          <c:val>
            <c:numRef>
              <c:f>('SEC A &amp; B '!$E$19,'SEC A &amp; B '!$E$35,'SEC A &amp; B '!$E$51,'SEC A &amp; B '!$E$67,'SEC A &amp; B '!$E$83,'SEC A &amp; B '!$E$99)</c:f>
              <c:numCache>
                <c:formatCode>General</c:formatCode>
                <c:ptCount val="6"/>
                <c:pt idx="0">
                  <c:v>9</c:v>
                </c:pt>
                <c:pt idx="1">
                  <c:v>3</c:v>
                </c:pt>
                <c:pt idx="2">
                  <c:v>6</c:v>
                </c:pt>
                <c:pt idx="3">
                  <c:v>6</c:v>
                </c:pt>
                <c:pt idx="4">
                  <c:v>8</c:v>
                </c:pt>
                <c:pt idx="5">
                  <c:v>10</c:v>
                </c:pt>
              </c:numCache>
            </c:numRef>
          </c:val>
          <c:extLst>
            <c:ext xmlns:c16="http://schemas.microsoft.com/office/drawing/2014/chart" uri="{C3380CC4-5D6E-409C-BE32-E72D297353CC}">
              <c16:uniqueId val="{00000000-C585-4AA0-8B25-2719092DEEC4}"/>
            </c:ext>
          </c:extLst>
        </c:ser>
        <c:dLbls>
          <c:showLegendKey val="0"/>
          <c:showVal val="0"/>
          <c:showCatName val="0"/>
          <c:showSerName val="0"/>
          <c:showPercent val="0"/>
          <c:showBubbleSize val="0"/>
        </c:dLbls>
        <c:gapWidth val="150"/>
        <c:axId val="86168320"/>
        <c:axId val="86169856"/>
      </c:barChart>
      <c:lineChart>
        <c:grouping val="standard"/>
        <c:varyColors val="0"/>
        <c:ser>
          <c:idx val="1"/>
          <c:order val="1"/>
          <c:marker>
            <c:symbol val="none"/>
          </c:marker>
          <c:val>
            <c:numRef>
              <c:f>('SEC A &amp; B '!$F$19,'SEC A &amp; B '!$F$35,'SEC A &amp; B '!$F$51,'SEC A &amp; B '!$F$67,'SEC A &amp; B '!$F$83,'SEC A &amp; B '!$F$99)</c:f>
              <c:numCache>
                <c:formatCode>General</c:formatCode>
                <c:ptCount val="6"/>
                <c:pt idx="0">
                  <c:v>9</c:v>
                </c:pt>
                <c:pt idx="1">
                  <c:v>3</c:v>
                </c:pt>
                <c:pt idx="2">
                  <c:v>6</c:v>
                </c:pt>
                <c:pt idx="3">
                  <c:v>6</c:v>
                </c:pt>
                <c:pt idx="4">
                  <c:v>8</c:v>
                </c:pt>
                <c:pt idx="5">
                  <c:v>10</c:v>
                </c:pt>
              </c:numCache>
            </c:numRef>
          </c:val>
          <c:smooth val="0"/>
          <c:extLst>
            <c:ext xmlns:c16="http://schemas.microsoft.com/office/drawing/2014/chart" uri="{C3380CC4-5D6E-409C-BE32-E72D297353CC}">
              <c16:uniqueId val="{00000001-C585-4AA0-8B25-2719092DEEC4}"/>
            </c:ext>
          </c:extLst>
        </c:ser>
        <c:dLbls>
          <c:showLegendKey val="0"/>
          <c:showVal val="0"/>
          <c:showCatName val="0"/>
          <c:showSerName val="0"/>
          <c:showPercent val="0"/>
          <c:showBubbleSize val="0"/>
        </c:dLbls>
        <c:marker val="1"/>
        <c:smooth val="0"/>
        <c:axId val="86168320"/>
        <c:axId val="86169856"/>
      </c:lineChart>
      <c:catAx>
        <c:axId val="86168320"/>
        <c:scaling>
          <c:orientation val="minMax"/>
        </c:scaling>
        <c:delete val="0"/>
        <c:axPos val="b"/>
        <c:numFmt formatCode="General" sourceLinked="1"/>
        <c:majorTickMark val="out"/>
        <c:minorTickMark val="none"/>
        <c:tickLblPos val="nextTo"/>
        <c:crossAx val="86169856"/>
        <c:crosses val="autoZero"/>
        <c:auto val="1"/>
        <c:lblAlgn val="ctr"/>
        <c:lblOffset val="100"/>
        <c:noMultiLvlLbl val="0"/>
      </c:catAx>
      <c:valAx>
        <c:axId val="86169856"/>
        <c:scaling>
          <c:orientation val="minMax"/>
        </c:scaling>
        <c:delete val="0"/>
        <c:axPos val="l"/>
        <c:majorGridlines/>
        <c:numFmt formatCode="General" sourceLinked="1"/>
        <c:majorTickMark val="out"/>
        <c:minorTickMark val="none"/>
        <c:tickLblPos val="nextTo"/>
        <c:crossAx val="86168320"/>
        <c:crosses val="autoZero"/>
        <c:crossBetween val="between"/>
      </c:valAx>
    </c:plotArea>
    <c:plotVisOnly val="1"/>
    <c:dispBlanksAs val="gap"/>
    <c:showDLblsOverMax val="0"/>
  </c:chart>
  <c:spPr>
    <a:ln>
      <a:noFill/>
    </a:ln>
  </c:spPr>
  <c:printSettings>
    <c:headerFooter/>
    <c:pageMargins b="0.75000000000000322" l="0.70000000000000062" r="0.70000000000000062" t="0.75000000000000322"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1"/>
    <c:plotArea>
      <c:layout>
        <c:manualLayout>
          <c:layoutTarget val="inner"/>
          <c:xMode val="edge"/>
          <c:yMode val="edge"/>
          <c:x val="0.26900809273840781"/>
          <c:y val="7.9652595508894738E-2"/>
          <c:w val="0.52031714785651395"/>
          <c:h val="0.85163021289005936"/>
        </c:manualLayout>
      </c:layout>
      <c:radarChart>
        <c:radarStyle val="marker"/>
        <c:varyColors val="0"/>
        <c:ser>
          <c:idx val="0"/>
          <c:order val="0"/>
          <c:cat>
            <c:numRef>
              <c:f>('SEC A &amp; B '!$A$6,'SEC A &amp; B '!$A$32,'SEC A &amp; B '!$A$37,'SEC A &amp; B '!$A$54,'SEC A &amp; B '!$A$70,'SEC A &amp; B '!$A$86)</c:f>
              <c:numCache>
                <c:formatCode>General</c:formatCode>
                <c:ptCount val="6"/>
              </c:numCache>
            </c:numRef>
          </c:cat>
          <c:val>
            <c:numRef>
              <c:f>('SEC A &amp; B '!$E$19,'SEC A &amp; B '!$E$35,'SEC A &amp; B '!$E$51,'SEC A &amp; B '!$E$67,'SEC A &amp; B '!$E$83,'SEC A &amp; B '!$E$99)</c:f>
              <c:numCache>
                <c:formatCode>General</c:formatCode>
                <c:ptCount val="6"/>
                <c:pt idx="0">
                  <c:v>9</c:v>
                </c:pt>
                <c:pt idx="1">
                  <c:v>3</c:v>
                </c:pt>
                <c:pt idx="2">
                  <c:v>6</c:v>
                </c:pt>
                <c:pt idx="3">
                  <c:v>6</c:v>
                </c:pt>
                <c:pt idx="4">
                  <c:v>8</c:v>
                </c:pt>
                <c:pt idx="5">
                  <c:v>10</c:v>
                </c:pt>
              </c:numCache>
            </c:numRef>
          </c:val>
          <c:extLst>
            <c:ext xmlns:c16="http://schemas.microsoft.com/office/drawing/2014/chart" uri="{C3380CC4-5D6E-409C-BE32-E72D297353CC}">
              <c16:uniqueId val="{00000000-206C-49A5-93FF-BE0E6E302D9F}"/>
            </c:ext>
          </c:extLst>
        </c:ser>
        <c:dLbls>
          <c:showLegendKey val="0"/>
          <c:showVal val="0"/>
          <c:showCatName val="0"/>
          <c:showSerName val="0"/>
          <c:showPercent val="0"/>
          <c:showBubbleSize val="0"/>
        </c:dLbls>
        <c:axId val="92208512"/>
        <c:axId val="98382976"/>
      </c:radarChart>
      <c:catAx>
        <c:axId val="92208512"/>
        <c:scaling>
          <c:orientation val="minMax"/>
        </c:scaling>
        <c:delete val="0"/>
        <c:axPos val="b"/>
        <c:majorGridlines/>
        <c:numFmt formatCode="General" sourceLinked="1"/>
        <c:majorTickMark val="none"/>
        <c:minorTickMark val="none"/>
        <c:tickLblPos val="nextTo"/>
        <c:crossAx val="98382976"/>
        <c:crosses val="autoZero"/>
        <c:auto val="1"/>
        <c:lblAlgn val="ctr"/>
        <c:lblOffset val="100"/>
        <c:noMultiLvlLbl val="0"/>
      </c:catAx>
      <c:valAx>
        <c:axId val="98382976"/>
        <c:scaling>
          <c:orientation val="minMax"/>
        </c:scaling>
        <c:delete val="0"/>
        <c:axPos val="l"/>
        <c:majorGridlines/>
        <c:numFmt formatCode="General" sourceLinked="1"/>
        <c:majorTickMark val="out"/>
        <c:minorTickMark val="none"/>
        <c:tickLblPos val="nextTo"/>
        <c:crossAx val="92208512"/>
        <c:crosses val="autoZero"/>
        <c:crossBetween val="between"/>
      </c:valAx>
    </c:plotArea>
    <c:plotVisOnly val="1"/>
    <c:dispBlanksAs val="gap"/>
    <c:showDLblsOverMax val="0"/>
  </c:chart>
  <c:spPr>
    <a:ln>
      <a:noFill/>
    </a:ln>
  </c:spPr>
  <c:printSettings>
    <c:headerFooter/>
    <c:pageMargins b="0.75000000000000322" l="0.70000000000000062" r="0.70000000000000062" t="0.750000000000003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0"/>
    <c:view3D>
      <c:rotX val="15"/>
      <c:rotY val="20"/>
      <c:rAngAx val="1"/>
    </c:view3D>
    <c:floor>
      <c:thickness val="0"/>
    </c:floor>
    <c:sideWall>
      <c:thickness val="0"/>
      <c:spPr>
        <a:noFill/>
        <a:ln w="25400">
          <a:noFill/>
        </a:ln>
      </c:spPr>
    </c:sideWall>
    <c:backWall>
      <c:thickness val="0"/>
      <c:spPr>
        <a:noFill/>
        <a:ln w="25400">
          <a:noFill/>
        </a:ln>
      </c:spPr>
    </c:backWall>
    <c:plotArea>
      <c:layout/>
      <c:bar3D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'SEC C &amp; D'!$H$3:$H$16</c:f>
              <c:strCache>
                <c:ptCount val="14"/>
                <c:pt idx="0">
                  <c:v>E</c:v>
                </c:pt>
                <c:pt idx="1">
                  <c:v>I</c:v>
                </c:pt>
                <c:pt idx="4">
                  <c:v>S</c:v>
                </c:pt>
                <c:pt idx="5">
                  <c:v>N</c:v>
                </c:pt>
                <c:pt idx="8">
                  <c:v>T</c:v>
                </c:pt>
                <c:pt idx="9">
                  <c:v>F</c:v>
                </c:pt>
                <c:pt idx="12">
                  <c:v>J</c:v>
                </c:pt>
                <c:pt idx="13">
                  <c:v>P</c:v>
                </c:pt>
              </c:strCache>
            </c:strRef>
          </c:cat>
          <c:val>
            <c:numRef>
              <c:f>'SEC C &amp; D'!$I$3:$I$16</c:f>
              <c:numCache>
                <c:formatCode>General</c:formatCode>
                <c:ptCount val="14"/>
                <c:pt idx="0">
                  <c:v>10</c:v>
                </c:pt>
                <c:pt idx="1">
                  <c:v>21</c:v>
                </c:pt>
                <c:pt idx="4">
                  <c:v>25</c:v>
                </c:pt>
                <c:pt idx="5">
                  <c:v>8</c:v>
                </c:pt>
                <c:pt idx="8">
                  <c:v>16</c:v>
                </c:pt>
                <c:pt idx="9">
                  <c:v>19</c:v>
                </c:pt>
                <c:pt idx="12">
                  <c:v>24</c:v>
                </c:pt>
                <c:pt idx="13">
                  <c:v>9</c:v>
                </c:pt>
              </c:numCache>
            </c:numRef>
          </c:val>
          <c:extLst>
            <c:ext xmlns:c16="http://schemas.microsoft.com/office/drawing/2014/chart" uri="{C3380CC4-5D6E-409C-BE32-E72D297353CC}">
              <c16:uniqueId val="{00000000-2A7F-45C4-90E2-FC1B9C2B51EF}"/>
            </c:ext>
          </c:extLst>
        </c:ser>
        <c:dLbls>
          <c:showLegendKey val="0"/>
          <c:showVal val="1"/>
          <c:showCatName val="0"/>
          <c:showSerName val="0"/>
          <c:showPercent val="0"/>
          <c:showBubbleSize val="0"/>
        </c:dLbls>
        <c:gapWidth val="150"/>
        <c:shape val="cylinder"/>
        <c:axId val="82776448"/>
        <c:axId val="82777984"/>
        <c:axId val="0"/>
      </c:bar3DChart>
      <c:catAx>
        <c:axId val="82776448"/>
        <c:scaling>
          <c:orientation val="minMax"/>
        </c:scaling>
        <c:delete val="0"/>
        <c:axPos val="b"/>
        <c:numFmt formatCode="General" sourceLinked="1"/>
        <c:majorTickMark val="out"/>
        <c:minorTickMark val="none"/>
        <c:tickLblPos val="nextTo"/>
        <c:crossAx val="82777984"/>
        <c:crosses val="autoZero"/>
        <c:auto val="1"/>
        <c:lblAlgn val="ctr"/>
        <c:lblOffset val="100"/>
        <c:noMultiLvlLbl val="0"/>
      </c:catAx>
      <c:valAx>
        <c:axId val="82777984"/>
        <c:scaling>
          <c:orientation val="minMax"/>
        </c:scaling>
        <c:delete val="1"/>
        <c:axPos val="l"/>
        <c:numFmt formatCode="General" sourceLinked="1"/>
        <c:majorTickMark val="out"/>
        <c:minorTickMark val="none"/>
        <c:tickLblPos val="nextTo"/>
        <c:crossAx val="82776448"/>
        <c:crosses val="autoZero"/>
        <c:crossBetween val="between"/>
      </c:valAx>
    </c:plotArea>
    <c:plotVisOnly val="1"/>
    <c:dispBlanksAs val="gap"/>
    <c:showDLblsOverMax val="0"/>
  </c:chart>
  <c:spPr>
    <a:ln>
      <a:noFill/>
    </a:ln>
  </c:spPr>
  <c:printSettings>
    <c:headerFooter/>
    <c:pageMargins b="0.75000000000000311" l="0.70000000000000062" r="0.70000000000000062" t="0.750000000000003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0"/>
    <c:plotArea>
      <c:layout/>
      <c:radarChart>
        <c:radarStyle val="marker"/>
        <c:varyColors val="0"/>
        <c:ser>
          <c:idx val="0"/>
          <c:order val="0"/>
          <c:cat>
            <c:strRef>
              <c:f>'SEC C &amp; D'!$H$3:$H$43</c:f>
              <c:strCache>
                <c:ptCount val="22"/>
                <c:pt idx="0">
                  <c:v>E</c:v>
                </c:pt>
                <c:pt idx="1">
                  <c:v>I</c:v>
                </c:pt>
                <c:pt idx="4">
                  <c:v>S</c:v>
                </c:pt>
                <c:pt idx="5">
                  <c:v>N</c:v>
                </c:pt>
                <c:pt idx="8">
                  <c:v>T</c:v>
                </c:pt>
                <c:pt idx="9">
                  <c:v>F</c:v>
                </c:pt>
                <c:pt idx="12">
                  <c:v>J</c:v>
                </c:pt>
                <c:pt idx="13">
                  <c:v>P</c:v>
                </c:pt>
                <c:pt idx="18">
                  <c:v>21</c:v>
                </c:pt>
                <c:pt idx="19">
                  <c:v>25</c:v>
                </c:pt>
                <c:pt idx="20">
                  <c:v>19</c:v>
                </c:pt>
                <c:pt idx="21">
                  <c:v>24</c:v>
                </c:pt>
              </c:strCache>
            </c:strRef>
          </c:cat>
          <c:val>
            <c:numRef>
              <c:f>'SEC C &amp; D'!$I$3:$I$43</c:f>
              <c:numCache>
                <c:formatCode>General</c:formatCode>
                <c:ptCount val="41"/>
                <c:pt idx="0">
                  <c:v>10</c:v>
                </c:pt>
                <c:pt idx="1">
                  <c:v>21</c:v>
                </c:pt>
                <c:pt idx="4">
                  <c:v>25</c:v>
                </c:pt>
                <c:pt idx="5">
                  <c:v>8</c:v>
                </c:pt>
                <c:pt idx="8">
                  <c:v>16</c:v>
                </c:pt>
                <c:pt idx="9">
                  <c:v>19</c:v>
                </c:pt>
                <c:pt idx="12">
                  <c:v>24</c:v>
                </c:pt>
                <c:pt idx="13">
                  <c:v>9</c:v>
                </c:pt>
                <c:pt idx="18">
                  <c:v>0</c:v>
                </c:pt>
                <c:pt idx="19">
                  <c:v>0</c:v>
                </c:pt>
                <c:pt idx="20">
                  <c:v>0</c:v>
                </c:pt>
                <c:pt idx="21">
                  <c:v>0</c:v>
                </c:pt>
                <c:pt idx="23">
                  <c:v>0</c:v>
                </c:pt>
              </c:numCache>
            </c:numRef>
          </c:val>
          <c:extLst>
            <c:ext xmlns:c16="http://schemas.microsoft.com/office/drawing/2014/chart" uri="{C3380CC4-5D6E-409C-BE32-E72D297353CC}">
              <c16:uniqueId val="{00000000-D0CE-43D0-ADE9-110CB4F60EA2}"/>
            </c:ext>
          </c:extLst>
        </c:ser>
        <c:dLbls>
          <c:showLegendKey val="0"/>
          <c:showVal val="0"/>
          <c:showCatName val="0"/>
          <c:showSerName val="0"/>
          <c:showPercent val="0"/>
          <c:showBubbleSize val="0"/>
        </c:dLbls>
        <c:axId val="82806272"/>
        <c:axId val="82807808"/>
      </c:radarChart>
      <c:catAx>
        <c:axId val="82806272"/>
        <c:scaling>
          <c:orientation val="minMax"/>
        </c:scaling>
        <c:delete val="0"/>
        <c:axPos val="b"/>
        <c:majorGridlines/>
        <c:numFmt formatCode="General" sourceLinked="0"/>
        <c:majorTickMark val="out"/>
        <c:minorTickMark val="none"/>
        <c:tickLblPos val="nextTo"/>
        <c:crossAx val="82807808"/>
        <c:crosses val="autoZero"/>
        <c:auto val="1"/>
        <c:lblAlgn val="ctr"/>
        <c:lblOffset val="100"/>
        <c:noMultiLvlLbl val="0"/>
      </c:catAx>
      <c:valAx>
        <c:axId val="82807808"/>
        <c:scaling>
          <c:orientation val="minMax"/>
        </c:scaling>
        <c:delete val="0"/>
        <c:axPos val="l"/>
        <c:majorGridlines/>
        <c:numFmt formatCode="General" sourceLinked="1"/>
        <c:majorTickMark val="out"/>
        <c:minorTickMark val="none"/>
        <c:tickLblPos val="nextTo"/>
        <c:crossAx val="82806272"/>
        <c:crosses val="autoZero"/>
        <c:crossBetween val="between"/>
      </c:valAx>
    </c:plotArea>
    <c:plotVisOnly val="1"/>
    <c:dispBlanksAs val="gap"/>
    <c:showDLblsOverMax val="0"/>
  </c:chart>
  <c:spPr>
    <a:ln>
      <a:noFill/>
    </a:ln>
  </c:spPr>
  <c:printSettings>
    <c:headerFooter/>
    <c:pageMargins b="0.75000000000000333" l="0.70000000000000062" r="0.70000000000000062" t="0.750000000000003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SECE!$C$4:$C$19</c:f>
              <c:strCache>
                <c:ptCount val="16"/>
                <c:pt idx="0">
                  <c:v>A</c:v>
                </c:pt>
                <c:pt idx="1">
                  <c:v>C</c:v>
                </c:pt>
                <c:pt idx="2">
                  <c:v>V</c:v>
                </c:pt>
                <c:pt idx="3">
                  <c:v>B</c:v>
                </c:pt>
                <c:pt idx="4">
                  <c:v>E</c:v>
                </c:pt>
                <c:pt idx="5">
                  <c:v>F</c:v>
                </c:pt>
                <c:pt idx="6">
                  <c:v>G</c:v>
                </c:pt>
                <c:pt idx="7">
                  <c:v>H</c:v>
                </c:pt>
                <c:pt idx="8">
                  <c:v>T</c:v>
                </c:pt>
                <c:pt idx="9">
                  <c:v>S</c:v>
                </c:pt>
                <c:pt idx="10">
                  <c:v>I</c:v>
                </c:pt>
                <c:pt idx="11">
                  <c:v>P</c:v>
                </c:pt>
                <c:pt idx="12">
                  <c:v>M</c:v>
                </c:pt>
                <c:pt idx="13">
                  <c:v>N</c:v>
                </c:pt>
                <c:pt idx="14">
                  <c:v>Y</c:v>
                </c:pt>
                <c:pt idx="15">
                  <c:v>D</c:v>
                </c:pt>
              </c:strCache>
            </c:strRef>
          </c:cat>
          <c:val>
            <c:numRef>
              <c:f>SECE!$B$4:$B$19</c:f>
              <c:numCache>
                <c:formatCode>General</c:formatCode>
                <c:ptCount val="16"/>
                <c:pt idx="0">
                  <c:v>1</c:v>
                </c:pt>
                <c:pt idx="1">
                  <c:v>6</c:v>
                </c:pt>
                <c:pt idx="2">
                  <c:v>3</c:v>
                </c:pt>
                <c:pt idx="3">
                  <c:v>7</c:v>
                </c:pt>
                <c:pt idx="4">
                  <c:v>4</c:v>
                </c:pt>
                <c:pt idx="5">
                  <c:v>5</c:v>
                </c:pt>
                <c:pt idx="6">
                  <c:v>5</c:v>
                </c:pt>
                <c:pt idx="7">
                  <c:v>5</c:v>
                </c:pt>
                <c:pt idx="8">
                  <c:v>5</c:v>
                </c:pt>
                <c:pt idx="9">
                  <c:v>4</c:v>
                </c:pt>
                <c:pt idx="10">
                  <c:v>1</c:v>
                </c:pt>
                <c:pt idx="11">
                  <c:v>3</c:v>
                </c:pt>
                <c:pt idx="12">
                  <c:v>8</c:v>
                </c:pt>
                <c:pt idx="13">
                  <c:v>4</c:v>
                </c:pt>
                <c:pt idx="14">
                  <c:v>3</c:v>
                </c:pt>
                <c:pt idx="15">
                  <c:v>5</c:v>
                </c:pt>
              </c:numCache>
            </c:numRef>
          </c:val>
          <c:extLst>
            <c:ext xmlns:c16="http://schemas.microsoft.com/office/drawing/2014/chart" uri="{C3380CC4-5D6E-409C-BE32-E72D297353CC}">
              <c16:uniqueId val="{00000000-5F58-48F8-BAEA-15BE9FBF7E01}"/>
            </c:ext>
          </c:extLst>
        </c:ser>
        <c:dLbls>
          <c:showLegendKey val="0"/>
          <c:showVal val="1"/>
          <c:showCatName val="0"/>
          <c:showSerName val="0"/>
          <c:showPercent val="0"/>
          <c:showBubbleSize val="0"/>
        </c:dLbls>
        <c:gapWidth val="150"/>
        <c:shape val="pyramid"/>
        <c:axId val="82870272"/>
        <c:axId val="82871808"/>
        <c:axId val="0"/>
      </c:bar3DChart>
      <c:catAx>
        <c:axId val="82870272"/>
        <c:scaling>
          <c:orientation val="minMax"/>
        </c:scaling>
        <c:delete val="0"/>
        <c:axPos val="b"/>
        <c:numFmt formatCode="General" sourceLinked="0"/>
        <c:majorTickMark val="out"/>
        <c:minorTickMark val="none"/>
        <c:tickLblPos val="nextTo"/>
        <c:crossAx val="82871808"/>
        <c:crosses val="autoZero"/>
        <c:auto val="1"/>
        <c:lblAlgn val="ctr"/>
        <c:lblOffset val="100"/>
        <c:noMultiLvlLbl val="0"/>
      </c:catAx>
      <c:valAx>
        <c:axId val="82871808"/>
        <c:scaling>
          <c:orientation val="minMax"/>
        </c:scaling>
        <c:delete val="0"/>
        <c:axPos val="l"/>
        <c:majorGridlines/>
        <c:numFmt formatCode="General" sourceLinked="1"/>
        <c:majorTickMark val="out"/>
        <c:minorTickMark val="none"/>
        <c:tickLblPos val="nextTo"/>
        <c:crossAx val="82870272"/>
        <c:crosses val="autoZero"/>
        <c:crossBetween val="between"/>
      </c:valAx>
    </c:plotArea>
    <c:plotVisOnly val="1"/>
    <c:dispBlanksAs val="gap"/>
    <c:showDLblsOverMax val="0"/>
  </c:chart>
  <c:printSettings>
    <c:headerFooter/>
    <c:pageMargins b="0.75000000000000311" l="0.70000000000000062" r="0.70000000000000062" t="0.750000000000003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8"/>
    </mc:Choice>
    <mc:Fallback>
      <c:style val="28"/>
    </mc:Fallback>
  </mc:AlternateContent>
  <c:chart>
    <c:autoTitleDeleted val="0"/>
    <c:plotArea>
      <c:layout/>
      <c:lineChart>
        <c:grouping val="stacked"/>
        <c:varyColors val="0"/>
        <c:ser>
          <c:idx val="0"/>
          <c:order val="0"/>
          <c:marker>
            <c:symbol val="none"/>
          </c:marker>
          <c:cat>
            <c:strRef>
              <c:f>SECE!$C$4:$C$19</c:f>
              <c:strCache>
                <c:ptCount val="16"/>
                <c:pt idx="0">
                  <c:v>A</c:v>
                </c:pt>
                <c:pt idx="1">
                  <c:v>C</c:v>
                </c:pt>
                <c:pt idx="2">
                  <c:v>V</c:v>
                </c:pt>
                <c:pt idx="3">
                  <c:v>B</c:v>
                </c:pt>
                <c:pt idx="4">
                  <c:v>E</c:v>
                </c:pt>
                <c:pt idx="5">
                  <c:v>F</c:v>
                </c:pt>
                <c:pt idx="6">
                  <c:v>G</c:v>
                </c:pt>
                <c:pt idx="7">
                  <c:v>H</c:v>
                </c:pt>
                <c:pt idx="8">
                  <c:v>T</c:v>
                </c:pt>
                <c:pt idx="9">
                  <c:v>S</c:v>
                </c:pt>
                <c:pt idx="10">
                  <c:v>I</c:v>
                </c:pt>
                <c:pt idx="11">
                  <c:v>P</c:v>
                </c:pt>
                <c:pt idx="12">
                  <c:v>M</c:v>
                </c:pt>
                <c:pt idx="13">
                  <c:v>N</c:v>
                </c:pt>
                <c:pt idx="14">
                  <c:v>Y</c:v>
                </c:pt>
                <c:pt idx="15">
                  <c:v>D</c:v>
                </c:pt>
              </c:strCache>
            </c:strRef>
          </c:cat>
          <c:val>
            <c:numRef>
              <c:f>SECE!$B$4:$B$19</c:f>
              <c:numCache>
                <c:formatCode>General</c:formatCode>
                <c:ptCount val="16"/>
                <c:pt idx="0">
                  <c:v>1</c:v>
                </c:pt>
                <c:pt idx="1">
                  <c:v>6</c:v>
                </c:pt>
                <c:pt idx="2">
                  <c:v>3</c:v>
                </c:pt>
                <c:pt idx="3">
                  <c:v>7</c:v>
                </c:pt>
                <c:pt idx="4">
                  <c:v>4</c:v>
                </c:pt>
                <c:pt idx="5">
                  <c:v>5</c:v>
                </c:pt>
                <c:pt idx="6">
                  <c:v>5</c:v>
                </c:pt>
                <c:pt idx="7">
                  <c:v>5</c:v>
                </c:pt>
                <c:pt idx="8">
                  <c:v>5</c:v>
                </c:pt>
                <c:pt idx="9">
                  <c:v>4</c:v>
                </c:pt>
                <c:pt idx="10">
                  <c:v>1</c:v>
                </c:pt>
                <c:pt idx="11">
                  <c:v>3</c:v>
                </c:pt>
                <c:pt idx="12">
                  <c:v>8</c:v>
                </c:pt>
                <c:pt idx="13">
                  <c:v>4</c:v>
                </c:pt>
                <c:pt idx="14">
                  <c:v>3</c:v>
                </c:pt>
                <c:pt idx="15">
                  <c:v>5</c:v>
                </c:pt>
              </c:numCache>
            </c:numRef>
          </c:val>
          <c:smooth val="0"/>
          <c:extLst>
            <c:ext xmlns:c16="http://schemas.microsoft.com/office/drawing/2014/chart" uri="{C3380CC4-5D6E-409C-BE32-E72D297353CC}">
              <c16:uniqueId val="{00000000-F695-4EEF-8A3D-072C8D216794}"/>
            </c:ext>
          </c:extLst>
        </c:ser>
        <c:dLbls>
          <c:showLegendKey val="0"/>
          <c:showVal val="0"/>
          <c:showCatName val="0"/>
          <c:showSerName val="0"/>
          <c:showPercent val="0"/>
          <c:showBubbleSize val="0"/>
        </c:dLbls>
        <c:smooth val="0"/>
        <c:axId val="82887424"/>
        <c:axId val="82888960"/>
      </c:lineChart>
      <c:catAx>
        <c:axId val="82887424"/>
        <c:scaling>
          <c:orientation val="minMax"/>
        </c:scaling>
        <c:delete val="0"/>
        <c:axPos val="b"/>
        <c:numFmt formatCode="General" sourceLinked="0"/>
        <c:majorTickMark val="out"/>
        <c:minorTickMark val="none"/>
        <c:tickLblPos val="nextTo"/>
        <c:crossAx val="82888960"/>
        <c:crosses val="autoZero"/>
        <c:auto val="1"/>
        <c:lblAlgn val="ctr"/>
        <c:lblOffset val="100"/>
        <c:noMultiLvlLbl val="0"/>
      </c:catAx>
      <c:valAx>
        <c:axId val="82888960"/>
        <c:scaling>
          <c:orientation val="minMax"/>
        </c:scaling>
        <c:delete val="0"/>
        <c:axPos val="l"/>
        <c:majorGridlines/>
        <c:numFmt formatCode="General" sourceLinked="1"/>
        <c:majorTickMark val="out"/>
        <c:minorTickMark val="none"/>
        <c:tickLblPos val="nextTo"/>
        <c:crossAx val="82887424"/>
        <c:crosses val="autoZero"/>
        <c:crossBetween val="between"/>
      </c:valAx>
    </c:plotArea>
    <c:plotVisOnly val="1"/>
    <c:dispBlanksAs val="zero"/>
    <c:showDLblsOverMax val="0"/>
  </c:chart>
  <c:printSettings>
    <c:headerFooter/>
    <c:pageMargins b="0.75000000000000333" l="0.70000000000000062" r="0.70000000000000062" t="0.750000000000003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plotArea>
      <c:layout>
        <c:manualLayout>
          <c:layoutTarget val="inner"/>
          <c:xMode val="edge"/>
          <c:yMode val="edge"/>
          <c:x val="6.992135489712227E-2"/>
          <c:y val="5.0306930985381318E-2"/>
          <c:w val="0.93007864510287774"/>
          <c:h val="0.84170186920971046"/>
        </c:manualLayout>
      </c:layout>
      <c:barChart>
        <c:barDir val="bar"/>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Report!$A$51:$A$56</c:f>
              <c:strCache>
                <c:ptCount val="6"/>
                <c:pt idx="0">
                  <c:v>C</c:v>
                </c:pt>
                <c:pt idx="1">
                  <c:v>E</c:v>
                </c:pt>
                <c:pt idx="2">
                  <c:v>S</c:v>
                </c:pt>
                <c:pt idx="3">
                  <c:v>A</c:v>
                </c:pt>
                <c:pt idx="4">
                  <c:v>I</c:v>
                </c:pt>
                <c:pt idx="5">
                  <c:v>R</c:v>
                </c:pt>
              </c:strCache>
            </c:strRef>
          </c:cat>
          <c:val>
            <c:numRef>
              <c:f>Report!$B$51:$B$56</c:f>
              <c:numCache>
                <c:formatCode>General</c:formatCode>
                <c:ptCount val="6"/>
                <c:pt idx="0">
                  <c:v>10</c:v>
                </c:pt>
                <c:pt idx="1">
                  <c:v>6</c:v>
                </c:pt>
                <c:pt idx="2">
                  <c:v>8</c:v>
                </c:pt>
                <c:pt idx="3">
                  <c:v>3</c:v>
                </c:pt>
                <c:pt idx="4">
                  <c:v>6</c:v>
                </c:pt>
                <c:pt idx="5">
                  <c:v>9</c:v>
                </c:pt>
              </c:numCache>
            </c:numRef>
          </c:val>
          <c:extLst>
            <c:ext xmlns:c16="http://schemas.microsoft.com/office/drawing/2014/chart" uri="{C3380CC4-5D6E-409C-BE32-E72D297353CC}">
              <c16:uniqueId val="{00000000-F7AD-4367-87CE-386637D88085}"/>
            </c:ext>
          </c:extLst>
        </c:ser>
        <c:dLbls>
          <c:dLblPos val="outEnd"/>
          <c:showLegendKey val="0"/>
          <c:showVal val="1"/>
          <c:showCatName val="0"/>
          <c:showSerName val="0"/>
          <c:showPercent val="0"/>
          <c:showBubbleSize val="0"/>
        </c:dLbls>
        <c:gapWidth val="150"/>
        <c:axId val="85207296"/>
        <c:axId val="85217280"/>
      </c:barChart>
      <c:catAx>
        <c:axId val="85207296"/>
        <c:scaling>
          <c:orientation val="minMax"/>
        </c:scaling>
        <c:delete val="0"/>
        <c:axPos val="l"/>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5217280"/>
        <c:crosses val="autoZero"/>
        <c:auto val="1"/>
        <c:lblAlgn val="ctr"/>
        <c:lblOffset val="100"/>
        <c:noMultiLvlLbl val="0"/>
      </c:catAx>
      <c:valAx>
        <c:axId val="85217280"/>
        <c:scaling>
          <c:orientation val="minMax"/>
        </c:scaling>
        <c:delete val="1"/>
        <c:axPos val="b"/>
        <c:numFmt formatCode="General" sourceLinked="1"/>
        <c:majorTickMark val="out"/>
        <c:minorTickMark val="none"/>
        <c:tickLblPos val="nextTo"/>
        <c:crossAx val="85207296"/>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view3D>
      <c:rotX val="15"/>
      <c:rotY val="20"/>
      <c:rAngAx val="1"/>
    </c:view3D>
    <c:floor>
      <c:thickness val="0"/>
      <c:spPr>
        <a:noFill/>
        <a:ln w="9525" cap="flat" cmpd="sng" algn="ctr">
          <a:solidFill>
            <a:schemeClr val="tx1">
              <a:tint val="75000"/>
              <a:shade val="95000"/>
              <a:satMod val="105000"/>
            </a:schemeClr>
          </a:solidFill>
          <a:prstDash val="solid"/>
          <a:round/>
        </a:ln>
        <a:effectLst/>
        <a:sp3d contourW="9525">
          <a:contourClr>
            <a:schemeClr val="tx1">
              <a:tint val="75000"/>
              <a:shade val="95000"/>
              <a:satMod val="105000"/>
            </a:schemeClr>
          </a:contourClr>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'SEC C &amp; D'!$H$2:$H$17</c:f>
              <c:strCache>
                <c:ptCount val="15"/>
                <c:pt idx="1">
                  <c:v>E</c:v>
                </c:pt>
                <c:pt idx="2">
                  <c:v>I</c:v>
                </c:pt>
                <c:pt idx="5">
                  <c:v>S</c:v>
                </c:pt>
                <c:pt idx="6">
                  <c:v>N</c:v>
                </c:pt>
                <c:pt idx="9">
                  <c:v>T</c:v>
                </c:pt>
                <c:pt idx="10">
                  <c:v>F</c:v>
                </c:pt>
                <c:pt idx="13">
                  <c:v>J</c:v>
                </c:pt>
                <c:pt idx="14">
                  <c:v>P</c:v>
                </c:pt>
              </c:strCache>
            </c:strRef>
          </c:cat>
          <c:val>
            <c:numRef>
              <c:f>'SEC C &amp; D'!$I$2:$I$17</c:f>
              <c:numCache>
                <c:formatCode>General</c:formatCode>
                <c:ptCount val="16"/>
                <c:pt idx="1">
                  <c:v>10</c:v>
                </c:pt>
                <c:pt idx="2">
                  <c:v>21</c:v>
                </c:pt>
                <c:pt idx="5">
                  <c:v>25</c:v>
                </c:pt>
                <c:pt idx="6">
                  <c:v>8</c:v>
                </c:pt>
                <c:pt idx="9">
                  <c:v>16</c:v>
                </c:pt>
                <c:pt idx="10">
                  <c:v>19</c:v>
                </c:pt>
                <c:pt idx="13">
                  <c:v>24</c:v>
                </c:pt>
                <c:pt idx="14">
                  <c:v>9</c:v>
                </c:pt>
              </c:numCache>
            </c:numRef>
          </c:val>
          <c:extLst>
            <c:ext xmlns:c16="http://schemas.microsoft.com/office/drawing/2014/chart" uri="{C3380CC4-5D6E-409C-BE32-E72D297353CC}">
              <c16:uniqueId val="{00000000-B731-4358-A642-5E02F2D8F373}"/>
            </c:ext>
          </c:extLst>
        </c:ser>
        <c:dLbls>
          <c:showLegendKey val="0"/>
          <c:showVal val="1"/>
          <c:showCatName val="0"/>
          <c:showSerName val="0"/>
          <c:showPercent val="0"/>
          <c:showBubbleSize val="0"/>
        </c:dLbls>
        <c:gapWidth val="150"/>
        <c:shape val="cylinder"/>
        <c:axId val="85250432"/>
        <c:axId val="85251968"/>
        <c:axId val="0"/>
      </c:bar3DChart>
      <c:catAx>
        <c:axId val="85250432"/>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5251968"/>
        <c:crosses val="autoZero"/>
        <c:auto val="1"/>
        <c:lblAlgn val="ctr"/>
        <c:lblOffset val="100"/>
        <c:noMultiLvlLbl val="0"/>
      </c:catAx>
      <c:valAx>
        <c:axId val="85251968"/>
        <c:scaling>
          <c:orientation val="minMax"/>
        </c:scaling>
        <c:delete val="1"/>
        <c:axPos val="l"/>
        <c:numFmt formatCode="General" sourceLinked="1"/>
        <c:majorTickMark val="out"/>
        <c:minorTickMark val="none"/>
        <c:tickLblPos val="nextTo"/>
        <c:crossAx val="85250432"/>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000000000000311" l="0.70000000000000062" r="0.70000000000000062" t="0.750000000000003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0"/>
    <c:view3D>
      <c:rotX val="15"/>
      <c:rotY val="20"/>
      <c:rAngAx val="1"/>
    </c:view3D>
    <c:floor>
      <c:thickness val="0"/>
      <c:spPr>
        <a:noFill/>
        <a:ln w="9525" cap="flat" cmpd="sng" algn="ctr">
          <a:solidFill>
            <a:schemeClr val="tx1">
              <a:tint val="75000"/>
              <a:shade val="95000"/>
              <a:satMod val="105000"/>
            </a:schemeClr>
          </a:solidFill>
          <a:prstDash val="solid"/>
          <a:round/>
        </a:ln>
        <a:effectLst/>
        <a:sp3d contourW="9525">
          <a:contourClr>
            <a:schemeClr val="tx1">
              <a:tint val="75000"/>
              <a:shade val="95000"/>
              <a:satMod val="105000"/>
            </a:schemeClr>
          </a:contourClr>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4837943640002085E-2"/>
          <c:y val="0.11134753717876086"/>
          <c:w val="0.92803811661791513"/>
          <c:h val="0.74910872707705223"/>
        </c:manualLayout>
      </c:layout>
      <c:bar3DChart>
        <c:barDir val="col"/>
        <c:grouping val="clustered"/>
        <c:varyColors val="0"/>
        <c:ser>
          <c:idx val="0"/>
          <c:order val="0"/>
          <c:spPr>
            <a:solidFill>
              <a:schemeClr val="accent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t" anchorCtr="0">
                <a:spAutoFit/>
              </a:bodyPr>
              <a:lstStyle/>
              <a:p>
                <a:pPr algn="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SECE!$C$4:$C$19</c:f>
              <c:strCache>
                <c:ptCount val="16"/>
                <c:pt idx="0">
                  <c:v>A</c:v>
                </c:pt>
                <c:pt idx="1">
                  <c:v>C</c:v>
                </c:pt>
                <c:pt idx="2">
                  <c:v>V</c:v>
                </c:pt>
                <c:pt idx="3">
                  <c:v>B</c:v>
                </c:pt>
                <c:pt idx="4">
                  <c:v>E</c:v>
                </c:pt>
                <c:pt idx="5">
                  <c:v>F</c:v>
                </c:pt>
                <c:pt idx="6">
                  <c:v>G</c:v>
                </c:pt>
                <c:pt idx="7">
                  <c:v>H</c:v>
                </c:pt>
                <c:pt idx="8">
                  <c:v>T</c:v>
                </c:pt>
                <c:pt idx="9">
                  <c:v>S</c:v>
                </c:pt>
                <c:pt idx="10">
                  <c:v>I</c:v>
                </c:pt>
                <c:pt idx="11">
                  <c:v>P</c:v>
                </c:pt>
                <c:pt idx="12">
                  <c:v>M</c:v>
                </c:pt>
                <c:pt idx="13">
                  <c:v>N</c:v>
                </c:pt>
                <c:pt idx="14">
                  <c:v>Y</c:v>
                </c:pt>
                <c:pt idx="15">
                  <c:v>D</c:v>
                </c:pt>
              </c:strCache>
            </c:strRef>
          </c:cat>
          <c:val>
            <c:numRef>
              <c:f>SECE!$B$4:$B$19</c:f>
              <c:numCache>
                <c:formatCode>General</c:formatCode>
                <c:ptCount val="16"/>
                <c:pt idx="0">
                  <c:v>1</c:v>
                </c:pt>
                <c:pt idx="1">
                  <c:v>6</c:v>
                </c:pt>
                <c:pt idx="2">
                  <c:v>3</c:v>
                </c:pt>
                <c:pt idx="3">
                  <c:v>7</c:v>
                </c:pt>
                <c:pt idx="4">
                  <c:v>4</c:v>
                </c:pt>
                <c:pt idx="5">
                  <c:v>5</c:v>
                </c:pt>
                <c:pt idx="6">
                  <c:v>5</c:v>
                </c:pt>
                <c:pt idx="7">
                  <c:v>5</c:v>
                </c:pt>
                <c:pt idx="8">
                  <c:v>5</c:v>
                </c:pt>
                <c:pt idx="9">
                  <c:v>4</c:v>
                </c:pt>
                <c:pt idx="10">
                  <c:v>1</c:v>
                </c:pt>
                <c:pt idx="11">
                  <c:v>3</c:v>
                </c:pt>
                <c:pt idx="12">
                  <c:v>8</c:v>
                </c:pt>
                <c:pt idx="13">
                  <c:v>4</c:v>
                </c:pt>
                <c:pt idx="14">
                  <c:v>3</c:v>
                </c:pt>
                <c:pt idx="15">
                  <c:v>5</c:v>
                </c:pt>
              </c:numCache>
            </c:numRef>
          </c:val>
          <c:extLst>
            <c:ext xmlns:c16="http://schemas.microsoft.com/office/drawing/2014/chart" uri="{C3380CC4-5D6E-409C-BE32-E72D297353CC}">
              <c16:uniqueId val="{00000000-BD2B-4307-9094-E67BB528B640}"/>
            </c:ext>
          </c:extLst>
        </c:ser>
        <c:dLbls>
          <c:showLegendKey val="0"/>
          <c:showVal val="1"/>
          <c:showCatName val="0"/>
          <c:showSerName val="0"/>
          <c:showPercent val="0"/>
          <c:showBubbleSize val="0"/>
        </c:dLbls>
        <c:gapWidth val="150"/>
        <c:shape val="pyramid"/>
        <c:axId val="85272832"/>
        <c:axId val="85286912"/>
        <c:axId val="0"/>
      </c:bar3DChart>
      <c:catAx>
        <c:axId val="85272832"/>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5286912"/>
        <c:crosses val="autoZero"/>
        <c:auto val="1"/>
        <c:lblAlgn val="ctr"/>
        <c:lblOffset val="100"/>
        <c:noMultiLvlLbl val="0"/>
      </c:catAx>
      <c:valAx>
        <c:axId val="85286912"/>
        <c:scaling>
          <c:orientation val="minMax"/>
        </c:scaling>
        <c:delete val="1"/>
        <c:axPos val="l"/>
        <c:numFmt formatCode="General" sourceLinked="1"/>
        <c:majorTickMark val="out"/>
        <c:minorTickMark val="none"/>
        <c:tickLblPos val="nextTo"/>
        <c:crossAx val="85272832"/>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000000000000311" l="0.70000000000000062" r="0.70000000000000062" t="0.75000000000000311" header="0.30000000000000032" footer="0.30000000000000032"/>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2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3">
      <a:schemeClr val="dk1"/>
    </cs:effectRef>
    <cs:fontRef idx="minor">
      <a:schemeClr val="tx1"/>
    </cs:fontRef>
  </cs:dataPoint>
  <cs:dataPoint3D>
    <cs:lnRef idx="0"/>
    <cs:fillRef idx="1">
      <cs:styleClr val="auto"/>
    </cs:fillRef>
    <cs:effectRef idx="3">
      <a:schemeClr val="dk1"/>
    </cs:effectRef>
    <cs:fontRef idx="minor">
      <a:schemeClr val="tx1"/>
    </cs:fontRef>
  </cs:dataPoint3D>
  <cs:dataPointLine>
    <cs:lnRef idx="1">
      <cs:styleClr val="auto"/>
    </cs:lnRef>
    <cs:lineWidthScale>7</cs:lineWidthScale>
    <cs:fillRef idx="0"/>
    <cs:effectRef idx="0"/>
    <cs:fontRef idx="minor">
      <a:schemeClr val="tx1"/>
    </cs:fontRef>
    <cs:spPr>
      <a:ln cap="rnd">
        <a:round/>
      </a:ln>
    </cs:spPr>
  </cs:dataPointLine>
  <cs:dataPointMarker>
    <cs:lnRef idx="1">
      <cs:styleClr val="auto"/>
    </cs:lnRef>
    <cs:fillRef idx="3">
      <cs:styleClr val="auto"/>
    </cs:fillRef>
    <cs:effectRef idx="3">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mods="ignoreCSTransforms">
      <cs:styleClr val="0">
        <a:shade val="25000"/>
      </cs:styleClr>
    </cs:fillRef>
    <cs:effectRef idx="3">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mods="ignoreCSTransforms">
      <cs:styleClr val="0">
        <a:tint val="25000"/>
      </cs:styleClr>
    </cs:fillRef>
    <cs:effectRef idx="3">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2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3">
      <a:schemeClr val="dk1"/>
    </cs:effectRef>
    <cs:fontRef idx="minor">
      <a:schemeClr val="tx1"/>
    </cs:fontRef>
  </cs:dataPoint>
  <cs:dataPoint3D>
    <cs:lnRef idx="0"/>
    <cs:fillRef idx="1">
      <cs:styleClr val="auto"/>
    </cs:fillRef>
    <cs:effectRef idx="3">
      <a:schemeClr val="dk1"/>
    </cs:effectRef>
    <cs:fontRef idx="minor">
      <a:schemeClr val="tx1"/>
    </cs:fontRef>
  </cs:dataPoint3D>
  <cs:dataPointLine>
    <cs:lnRef idx="1">
      <cs:styleClr val="auto"/>
    </cs:lnRef>
    <cs:lineWidthScale>7</cs:lineWidthScale>
    <cs:fillRef idx="0"/>
    <cs:effectRef idx="0"/>
    <cs:fontRef idx="minor">
      <a:schemeClr val="tx1"/>
    </cs:fontRef>
    <cs:spPr>
      <a:ln cap="rnd">
        <a:round/>
      </a:ln>
    </cs:spPr>
  </cs:dataPointLine>
  <cs:dataPointMarker>
    <cs:lnRef idx="1">
      <cs:styleClr val="auto"/>
    </cs:lnRef>
    <cs:fillRef idx="3">
      <cs:styleClr val="auto"/>
    </cs:fillRef>
    <cs:effectRef idx="3">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mods="ignoreCSTransforms">
      <cs:styleClr val="0">
        <a:shade val="25000"/>
      </cs:styleClr>
    </cs:fillRef>
    <cs:effectRef idx="3">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mods="ignoreCSTransforms">
      <cs:styleClr val="0">
        <a:tint val="25000"/>
      </cs:styleClr>
    </cs:fillRef>
    <cs:effectRef idx="3">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438150</xdr:colOff>
      <xdr:row>2</xdr:row>
      <xdr:rowOff>66675</xdr:rowOff>
    </xdr:from>
    <xdr:to>
      <xdr:col>16</xdr:col>
      <xdr:colOff>133350</xdr:colOff>
      <xdr:row>52</xdr:row>
      <xdr:rowOff>142875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409575</xdr:colOff>
      <xdr:row>2</xdr:row>
      <xdr:rowOff>47625</xdr:rowOff>
    </xdr:from>
    <xdr:to>
      <xdr:col>24</xdr:col>
      <xdr:colOff>104775</xdr:colOff>
      <xdr:row>52</xdr:row>
      <xdr:rowOff>123825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588870</xdr:colOff>
      <xdr:row>2</xdr:row>
      <xdr:rowOff>112059</xdr:rowOff>
    </xdr:from>
    <xdr:to>
      <xdr:col>18</xdr:col>
      <xdr:colOff>440067</xdr:colOff>
      <xdr:row>16</xdr:row>
      <xdr:rowOff>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514350</xdr:colOff>
      <xdr:row>39</xdr:row>
      <xdr:rowOff>161925</xdr:rowOff>
    </xdr:from>
    <xdr:to>
      <xdr:col>17</xdr:col>
      <xdr:colOff>209550</xdr:colOff>
      <xdr:row>84</xdr:row>
      <xdr:rowOff>47625</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419099</xdr:colOff>
      <xdr:row>2</xdr:row>
      <xdr:rowOff>76200</xdr:rowOff>
    </xdr:from>
    <xdr:to>
      <xdr:col>15</xdr:col>
      <xdr:colOff>200025</xdr:colOff>
      <xdr:row>19</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400050</xdr:colOff>
      <xdr:row>19</xdr:row>
      <xdr:rowOff>152400</xdr:rowOff>
    </xdr:from>
    <xdr:to>
      <xdr:col>15</xdr:col>
      <xdr:colOff>180976</xdr:colOff>
      <xdr:row>34</xdr:row>
      <xdr:rowOff>38100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116593</xdr:colOff>
      <xdr:row>9</xdr:row>
      <xdr:rowOff>36123</xdr:rowOff>
    </xdr:from>
    <xdr:to>
      <xdr:col>1</xdr:col>
      <xdr:colOff>3214688</xdr:colOff>
      <xdr:row>11</xdr:row>
      <xdr:rowOff>19431</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33617</xdr:colOff>
      <xdr:row>13</xdr:row>
      <xdr:rowOff>134470</xdr:rowOff>
    </xdr:from>
    <xdr:to>
      <xdr:col>1</xdr:col>
      <xdr:colOff>3182470</xdr:colOff>
      <xdr:row>14</xdr:row>
      <xdr:rowOff>168088</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3578059</xdr:colOff>
      <xdr:row>17</xdr:row>
      <xdr:rowOff>645582</xdr:rowOff>
    </xdr:from>
    <xdr:to>
      <xdr:col>2</xdr:col>
      <xdr:colOff>218675</xdr:colOff>
      <xdr:row>19</xdr:row>
      <xdr:rowOff>160844</xdr:rowOff>
    </xdr:to>
    <xdr:graphicFrame macro="">
      <xdr:nvGraphicFramePr>
        <xdr:cNvPr id="17" name="Chart 16">
          <a:extLst>
            <a:ext uri="{FF2B5EF4-FFF2-40B4-BE49-F238E27FC236}">
              <a16:creationId xmlns:a16="http://schemas.microsoft.com/office/drawing/2014/main" id="{00000000-0008-0000-0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44CA-E7E2-4F27-B6EB-4BD6EC7BED67}">
  <dimension ref="A1:JU8"/>
  <sheetViews>
    <sheetView zoomScale="70" zoomScaleNormal="70" workbookViewId="0">
      <selection activeCell="C8" sqref="C8:JU8"/>
    </sheetView>
  </sheetViews>
  <sheetFormatPr defaultColWidth="8.81640625" defaultRowHeight="14.5" x14ac:dyDescent="0.35"/>
  <cols>
    <col min="1" max="1" width="21.6328125" customWidth="1"/>
    <col min="2" max="2" width="26.36328125" bestFit="1" customWidth="1"/>
    <col min="11" max="11" width="10.36328125" customWidth="1"/>
  </cols>
  <sheetData>
    <row r="1" spans="1:281" x14ac:dyDescent="0.35">
      <c r="A1" s="67" t="s">
        <v>135</v>
      </c>
      <c r="B1" s="68"/>
      <c r="C1" s="68"/>
      <c r="D1" s="68"/>
      <c r="E1" s="68"/>
      <c r="F1" s="68"/>
      <c r="G1" s="68"/>
      <c r="H1" s="68"/>
      <c r="I1" s="68"/>
      <c r="J1" s="68"/>
      <c r="K1" s="69"/>
    </row>
    <row r="2" spans="1:281" ht="15" thickBot="1" x14ac:dyDescent="0.4">
      <c r="A2" s="70"/>
      <c r="B2" s="71"/>
      <c r="C2" s="71"/>
      <c r="D2" s="71"/>
      <c r="E2" s="71"/>
      <c r="F2" s="71"/>
      <c r="G2" s="71"/>
      <c r="H2" s="71"/>
      <c r="I2" s="71"/>
      <c r="J2" s="71"/>
      <c r="K2" s="72"/>
    </row>
    <row r="3" spans="1:281" ht="15" thickBot="1" x14ac:dyDescent="0.4"/>
    <row r="4" spans="1:281" ht="15" thickBot="1" x14ac:dyDescent="0.4">
      <c r="C4" s="62" t="s">
        <v>42</v>
      </c>
      <c r="CO4" s="62" t="s">
        <v>416</v>
      </c>
      <c r="CU4" s="62" t="s">
        <v>417</v>
      </c>
      <c r="FK4" s="62" t="s">
        <v>423</v>
      </c>
      <c r="HG4" s="62" t="s">
        <v>424</v>
      </c>
      <c r="IM4" s="62" t="s">
        <v>425</v>
      </c>
    </row>
    <row r="5" spans="1:281" ht="15" thickBot="1" x14ac:dyDescent="0.4">
      <c r="C5" s="50"/>
      <c r="CO5" s="50"/>
      <c r="CU5" s="47">
        <v>1</v>
      </c>
      <c r="CV5" s="47">
        <v>2</v>
      </c>
      <c r="CW5" s="47">
        <v>3</v>
      </c>
      <c r="CX5" s="47">
        <v>4</v>
      </c>
      <c r="CY5" s="47">
        <v>5</v>
      </c>
      <c r="CZ5" s="47">
        <v>6</v>
      </c>
      <c r="DA5" s="47">
        <v>7</v>
      </c>
      <c r="DB5" s="47">
        <v>8</v>
      </c>
      <c r="DC5" s="47">
        <v>9</v>
      </c>
      <c r="DD5" s="47">
        <v>10</v>
      </c>
      <c r="DE5" s="47">
        <v>11</v>
      </c>
      <c r="DF5" s="47">
        <v>12</v>
      </c>
      <c r="DG5" s="47">
        <v>13</v>
      </c>
      <c r="DH5" s="47">
        <v>14</v>
      </c>
      <c r="DI5" s="47">
        <v>15</v>
      </c>
      <c r="DJ5" s="47">
        <v>16</v>
      </c>
      <c r="DK5" s="47">
        <v>17</v>
      </c>
      <c r="DL5" s="47">
        <v>18</v>
      </c>
      <c r="DM5" s="47">
        <v>19</v>
      </c>
      <c r="DN5" s="47">
        <v>20</v>
      </c>
      <c r="DO5" s="47">
        <v>21</v>
      </c>
      <c r="DP5" s="47">
        <v>22</v>
      </c>
      <c r="DQ5" s="47">
        <v>23</v>
      </c>
      <c r="DR5" s="47">
        <v>24</v>
      </c>
      <c r="DS5" s="47">
        <v>25</v>
      </c>
      <c r="DT5" s="47">
        <v>26</v>
      </c>
      <c r="DU5" s="47">
        <v>27</v>
      </c>
      <c r="DV5" s="47">
        <v>28</v>
      </c>
      <c r="DW5" s="47">
        <v>29</v>
      </c>
      <c r="DX5" s="47">
        <v>30</v>
      </c>
      <c r="DY5" s="47">
        <v>31</v>
      </c>
      <c r="DZ5" s="47">
        <v>32</v>
      </c>
      <c r="EA5" s="47">
        <v>33</v>
      </c>
      <c r="EB5" s="47">
        <v>34</v>
      </c>
      <c r="EC5" s="47">
        <v>35</v>
      </c>
      <c r="ED5" s="47">
        <v>36</v>
      </c>
      <c r="EE5" s="47">
        <v>37</v>
      </c>
      <c r="EF5" s="47">
        <v>38</v>
      </c>
      <c r="EG5" s="47">
        <v>39</v>
      </c>
      <c r="EH5" s="47">
        <v>40</v>
      </c>
      <c r="EI5" s="47">
        <v>41</v>
      </c>
      <c r="EJ5" s="47">
        <v>42</v>
      </c>
      <c r="EK5" s="47">
        <v>43</v>
      </c>
      <c r="EL5" s="47">
        <v>44</v>
      </c>
      <c r="EM5" s="47">
        <v>45</v>
      </c>
      <c r="EN5" s="47">
        <v>46</v>
      </c>
      <c r="EO5" s="47">
        <v>47</v>
      </c>
      <c r="EP5" s="47">
        <v>48</v>
      </c>
      <c r="EQ5" s="47">
        <v>49</v>
      </c>
      <c r="ER5" s="47">
        <v>50</v>
      </c>
      <c r="ES5" s="47">
        <v>51</v>
      </c>
      <c r="ET5" s="47">
        <v>52</v>
      </c>
      <c r="EU5" s="47">
        <v>53</v>
      </c>
      <c r="EV5" s="47">
        <v>54</v>
      </c>
      <c r="EW5" s="47">
        <v>55</v>
      </c>
      <c r="EX5" s="47">
        <v>56</v>
      </c>
      <c r="EY5" s="47">
        <v>57</v>
      </c>
      <c r="EZ5" s="47">
        <v>58</v>
      </c>
      <c r="FA5" s="47">
        <v>59</v>
      </c>
      <c r="FB5" s="47">
        <v>60</v>
      </c>
      <c r="FC5" s="47">
        <v>61</v>
      </c>
      <c r="FD5" s="47">
        <v>62</v>
      </c>
      <c r="FE5" s="47">
        <v>63</v>
      </c>
      <c r="FF5" s="47">
        <v>64</v>
      </c>
      <c r="FG5" s="47">
        <v>65</v>
      </c>
      <c r="FH5" s="47">
        <v>66</v>
      </c>
      <c r="FI5" s="47">
        <v>67</v>
      </c>
      <c r="FJ5" s="47">
        <v>68</v>
      </c>
      <c r="FK5" s="47">
        <v>1</v>
      </c>
      <c r="FL5" s="47">
        <v>2</v>
      </c>
      <c r="FM5" s="47">
        <v>3</v>
      </c>
      <c r="FN5" s="47">
        <v>4</v>
      </c>
      <c r="FO5" s="47">
        <v>5</v>
      </c>
      <c r="FP5" s="47">
        <v>6</v>
      </c>
      <c r="FQ5" s="47">
        <v>7</v>
      </c>
      <c r="FR5" s="47">
        <v>8</v>
      </c>
      <c r="FS5" s="47">
        <v>9</v>
      </c>
      <c r="FT5" s="47">
        <v>10</v>
      </c>
      <c r="FU5" s="47">
        <v>11</v>
      </c>
      <c r="FV5" s="47">
        <v>12</v>
      </c>
      <c r="FW5" s="47">
        <v>13</v>
      </c>
      <c r="FX5" s="47">
        <v>14</v>
      </c>
      <c r="FY5" s="47">
        <v>15</v>
      </c>
      <c r="FZ5" s="47">
        <v>16</v>
      </c>
      <c r="GA5" s="47">
        <v>17</v>
      </c>
      <c r="GB5" s="47">
        <v>18</v>
      </c>
      <c r="GC5" s="47">
        <v>19</v>
      </c>
      <c r="GD5" s="47">
        <v>20</v>
      </c>
      <c r="GE5" s="47">
        <v>21</v>
      </c>
      <c r="GF5" s="47">
        <v>22</v>
      </c>
      <c r="GG5" s="47">
        <v>23</v>
      </c>
      <c r="GH5" s="47">
        <v>24</v>
      </c>
      <c r="GI5" s="47">
        <v>25</v>
      </c>
      <c r="GJ5" s="47">
        <v>26</v>
      </c>
      <c r="GK5" s="47">
        <v>27</v>
      </c>
      <c r="GL5" s="47">
        <v>28</v>
      </c>
      <c r="GM5" s="47">
        <v>29</v>
      </c>
      <c r="GN5" s="47">
        <v>30</v>
      </c>
      <c r="GO5" s="47">
        <v>31</v>
      </c>
      <c r="GP5" s="47">
        <v>32</v>
      </c>
      <c r="GQ5" s="47">
        <v>33</v>
      </c>
      <c r="GR5" s="47">
        <v>34</v>
      </c>
      <c r="GS5" s="47">
        <v>35</v>
      </c>
      <c r="GT5" s="47">
        <v>36</v>
      </c>
      <c r="GU5" s="47">
        <v>37</v>
      </c>
      <c r="GV5" s="47">
        <v>38</v>
      </c>
      <c r="GW5" s="47">
        <v>39</v>
      </c>
      <c r="GX5" s="47">
        <v>40</v>
      </c>
      <c r="GY5" s="47">
        <v>41</v>
      </c>
      <c r="GZ5" s="47">
        <v>42</v>
      </c>
      <c r="HA5" s="47">
        <v>43</v>
      </c>
      <c r="HB5" s="47">
        <v>44</v>
      </c>
      <c r="HC5" s="47">
        <v>45</v>
      </c>
      <c r="HD5" s="47">
        <v>46</v>
      </c>
      <c r="HE5" s="47">
        <v>47</v>
      </c>
      <c r="HF5" s="47">
        <v>48</v>
      </c>
      <c r="IM5" t="s">
        <v>426</v>
      </c>
      <c r="IN5" t="s">
        <v>427</v>
      </c>
      <c r="IO5" t="s">
        <v>428</v>
      </c>
      <c r="IP5" t="s">
        <v>429</v>
      </c>
      <c r="IQ5" t="s">
        <v>430</v>
      </c>
      <c r="IR5" t="s">
        <v>431</v>
      </c>
      <c r="IS5" t="s">
        <v>432</v>
      </c>
      <c r="IT5" t="s">
        <v>433</v>
      </c>
      <c r="IU5" t="s">
        <v>434</v>
      </c>
      <c r="IV5" t="s">
        <v>435</v>
      </c>
      <c r="IW5" t="s">
        <v>436</v>
      </c>
      <c r="IX5" t="s">
        <v>437</v>
      </c>
      <c r="IY5" t="s">
        <v>438</v>
      </c>
      <c r="IZ5" t="s">
        <v>439</v>
      </c>
      <c r="JA5" t="s">
        <v>440</v>
      </c>
      <c r="JB5" t="s">
        <v>441</v>
      </c>
      <c r="JC5" t="s">
        <v>442</v>
      </c>
      <c r="JD5" t="s">
        <v>443</v>
      </c>
      <c r="JE5" t="s">
        <v>444</v>
      </c>
      <c r="JF5" s="62" t="s">
        <v>424</v>
      </c>
      <c r="JG5" s="62" t="s">
        <v>424</v>
      </c>
      <c r="JH5" s="62" t="s">
        <v>424</v>
      </c>
      <c r="JI5" s="62" t="s">
        <v>424</v>
      </c>
      <c r="JJ5" s="62" t="s">
        <v>424</v>
      </c>
      <c r="JK5" s="62" t="s">
        <v>424</v>
      </c>
      <c r="JL5" s="62" t="s">
        <v>424</v>
      </c>
      <c r="JM5" s="62" t="s">
        <v>424</v>
      </c>
      <c r="JN5" s="62" t="s">
        <v>424</v>
      </c>
      <c r="JO5" s="62" t="s">
        <v>424</v>
      </c>
      <c r="JP5" s="62" t="s">
        <v>424</v>
      </c>
      <c r="JQ5" s="62" t="s">
        <v>424</v>
      </c>
      <c r="JR5" s="62" t="s">
        <v>424</v>
      </c>
      <c r="JS5" s="62" t="s">
        <v>424</v>
      </c>
      <c r="JT5" s="62" t="s">
        <v>424</v>
      </c>
      <c r="JU5" s="62" t="s">
        <v>424</v>
      </c>
    </row>
    <row r="6" spans="1:281" ht="15" thickBot="1" x14ac:dyDescent="0.4">
      <c r="C6" s="65" t="s">
        <v>2</v>
      </c>
      <c r="D6" s="73"/>
      <c r="E6" s="73"/>
      <c r="F6" s="73"/>
      <c r="G6" s="73"/>
      <c r="H6" s="73"/>
      <c r="I6" s="73"/>
      <c r="J6" s="73"/>
      <c r="K6" s="73"/>
      <c r="L6" s="73"/>
      <c r="M6" s="73"/>
      <c r="N6" s="73"/>
      <c r="O6" s="73"/>
      <c r="P6" s="73"/>
      <c r="Q6" s="66"/>
      <c r="R6" s="65" t="s">
        <v>3</v>
      </c>
      <c r="S6" s="73"/>
      <c r="T6" s="73"/>
      <c r="U6" s="73"/>
      <c r="V6" s="73"/>
      <c r="W6" s="73"/>
      <c r="X6" s="73"/>
      <c r="Y6" s="73"/>
      <c r="Z6" s="73"/>
      <c r="AA6" s="73"/>
      <c r="AB6" s="73"/>
      <c r="AC6" s="73"/>
      <c r="AD6" s="73"/>
      <c r="AE6" s="73"/>
      <c r="AF6" s="66"/>
      <c r="AG6" s="65" t="s">
        <v>4</v>
      </c>
      <c r="AH6" s="73"/>
      <c r="AI6" s="73"/>
      <c r="AJ6" s="73"/>
      <c r="AK6" s="73"/>
      <c r="AL6" s="73"/>
      <c r="AM6" s="73"/>
      <c r="AN6" s="73"/>
      <c r="AO6" s="73"/>
      <c r="AP6" s="73"/>
      <c r="AQ6" s="73"/>
      <c r="AR6" s="73"/>
      <c r="AS6" s="73"/>
      <c r="AT6" s="73"/>
      <c r="AU6" s="66"/>
      <c r="AV6" s="65" t="s">
        <v>5</v>
      </c>
      <c r="AW6" s="73"/>
      <c r="AX6" s="73"/>
      <c r="AY6" s="73"/>
      <c r="AZ6" s="73"/>
      <c r="BA6" s="73"/>
      <c r="BB6" s="73"/>
      <c r="BC6" s="73"/>
      <c r="BD6" s="73"/>
      <c r="BE6" s="73"/>
      <c r="BF6" s="73"/>
      <c r="BG6" s="73"/>
      <c r="BH6" s="73"/>
      <c r="BI6" s="73"/>
      <c r="BJ6" s="66"/>
      <c r="BK6" s="65" t="s">
        <v>6</v>
      </c>
      <c r="BL6" s="73"/>
      <c r="BM6" s="73"/>
      <c r="BN6" s="73"/>
      <c r="BO6" s="73"/>
      <c r="BP6" s="73"/>
      <c r="BQ6" s="73"/>
      <c r="BR6" s="73"/>
      <c r="BS6" s="73"/>
      <c r="BT6" s="73"/>
      <c r="BU6" s="73"/>
      <c r="BV6" s="73"/>
      <c r="BW6" s="73"/>
      <c r="BX6" s="73"/>
      <c r="BY6" s="66"/>
      <c r="BZ6" s="65" t="s">
        <v>7</v>
      </c>
      <c r="CA6" s="73"/>
      <c r="CB6" s="73"/>
      <c r="CC6" s="73"/>
      <c r="CD6" s="73"/>
      <c r="CE6" s="73"/>
      <c r="CF6" s="73"/>
      <c r="CG6" s="73"/>
      <c r="CH6" s="73"/>
      <c r="CI6" s="73"/>
      <c r="CJ6" s="73"/>
      <c r="CK6" s="73"/>
      <c r="CL6" s="73"/>
      <c r="CM6" s="73"/>
      <c r="CN6" s="66"/>
      <c r="CO6" s="61" t="s">
        <v>2</v>
      </c>
      <c r="CP6" s="61" t="s">
        <v>3</v>
      </c>
      <c r="CQ6" s="61" t="s">
        <v>5</v>
      </c>
      <c r="CR6" s="61" t="s">
        <v>6</v>
      </c>
      <c r="CS6" s="61" t="s">
        <v>4</v>
      </c>
      <c r="CT6" s="61" t="s">
        <v>7</v>
      </c>
      <c r="CU6" s="65" t="s">
        <v>419</v>
      </c>
      <c r="CV6" s="73"/>
      <c r="CW6" s="73"/>
      <c r="CX6" s="73"/>
      <c r="CY6" s="73"/>
      <c r="CZ6" s="73"/>
      <c r="DA6" s="73"/>
      <c r="DB6" s="73"/>
      <c r="DC6" s="73"/>
      <c r="DD6" s="73"/>
      <c r="DE6" s="73"/>
      <c r="DF6" s="73"/>
      <c r="DG6" s="73"/>
      <c r="DH6" s="73"/>
      <c r="DI6" s="66"/>
      <c r="DJ6" s="65" t="s">
        <v>420</v>
      </c>
      <c r="DK6" s="73"/>
      <c r="DL6" s="73"/>
      <c r="DM6" s="73"/>
      <c r="DN6" s="73"/>
      <c r="DO6" s="73"/>
      <c r="DP6" s="73"/>
      <c r="DQ6" s="73"/>
      <c r="DR6" s="73"/>
      <c r="DS6" s="73"/>
      <c r="DT6" s="73"/>
      <c r="DU6" s="73"/>
      <c r="DV6" s="73"/>
      <c r="DW6" s="73"/>
      <c r="DX6" s="73"/>
      <c r="DY6" s="73"/>
      <c r="DZ6" s="66"/>
      <c r="EA6" s="65" t="s">
        <v>421</v>
      </c>
      <c r="EB6" s="73"/>
      <c r="EC6" s="73"/>
      <c r="ED6" s="73"/>
      <c r="EE6" s="73"/>
      <c r="EF6" s="73"/>
      <c r="EG6" s="73"/>
      <c r="EH6" s="73"/>
      <c r="EI6" s="73"/>
      <c r="EJ6" s="73"/>
      <c r="EK6" s="73"/>
      <c r="EL6" s="73"/>
      <c r="EM6" s="73"/>
      <c r="EN6" s="73"/>
      <c r="EO6" s="73"/>
      <c r="EP6" s="73"/>
      <c r="EQ6" s="73"/>
      <c r="ER6" s="73"/>
      <c r="ES6" s="66"/>
      <c r="ET6" s="65" t="s">
        <v>422</v>
      </c>
      <c r="EU6" s="73"/>
      <c r="EV6" s="73"/>
      <c r="EW6" s="73"/>
      <c r="EX6" s="73"/>
      <c r="EY6" s="73"/>
      <c r="EZ6" s="73"/>
      <c r="FA6" s="73"/>
      <c r="FB6" s="73"/>
      <c r="FC6" s="73"/>
      <c r="FD6" s="73"/>
      <c r="FE6" s="73"/>
      <c r="FF6" s="73"/>
      <c r="FG6" s="73"/>
      <c r="FH6" s="73"/>
      <c r="FI6" s="73"/>
      <c r="FJ6" s="66"/>
      <c r="HG6" s="65" t="s">
        <v>3</v>
      </c>
      <c r="HH6" s="66"/>
      <c r="HI6" s="65" t="s">
        <v>7</v>
      </c>
      <c r="HJ6" s="66"/>
      <c r="HK6" s="65" t="s">
        <v>32</v>
      </c>
      <c r="HL6" s="66"/>
      <c r="HM6" s="65" t="s">
        <v>33</v>
      </c>
      <c r="HN6" s="66"/>
      <c r="HO6" s="65" t="s">
        <v>4</v>
      </c>
      <c r="HP6" s="66"/>
      <c r="HQ6" s="65" t="s">
        <v>10</v>
      </c>
      <c r="HR6" s="66"/>
      <c r="HS6" s="65" t="s">
        <v>34</v>
      </c>
      <c r="HT6" s="66"/>
      <c r="HU6" s="65" t="s">
        <v>35</v>
      </c>
      <c r="HV6" s="66"/>
      <c r="HW6" s="65" t="s">
        <v>9</v>
      </c>
      <c r="HX6" s="66"/>
      <c r="HY6" s="65" t="s">
        <v>6</v>
      </c>
      <c r="HZ6" s="66"/>
      <c r="IA6" s="65" t="s">
        <v>5</v>
      </c>
      <c r="IB6" s="66"/>
      <c r="IC6" s="65" t="s">
        <v>16</v>
      </c>
      <c r="ID6" s="66"/>
      <c r="IE6" s="65" t="s">
        <v>101</v>
      </c>
      <c r="IF6" s="66"/>
      <c r="IG6" s="65" t="s">
        <v>36</v>
      </c>
      <c r="IH6" s="66"/>
      <c r="II6" s="65" t="s">
        <v>37</v>
      </c>
      <c r="IJ6" s="66"/>
      <c r="IK6" s="65" t="s">
        <v>38</v>
      </c>
      <c r="IL6" s="66"/>
      <c r="IM6" s="50"/>
      <c r="IN6" s="50"/>
      <c r="IO6" s="50"/>
      <c r="IP6" s="50"/>
      <c r="IQ6" s="50"/>
      <c r="IR6" s="50"/>
      <c r="IS6" s="50"/>
      <c r="IT6" s="50"/>
      <c r="IU6" s="50"/>
      <c r="IV6" s="50"/>
      <c r="IW6" s="50"/>
      <c r="IX6" s="50"/>
      <c r="IY6" s="50"/>
      <c r="IZ6" s="50"/>
      <c r="JA6" s="50"/>
      <c r="JB6" s="50"/>
      <c r="JF6" s="49" t="s">
        <v>3</v>
      </c>
      <c r="JG6" s="49" t="s">
        <v>7</v>
      </c>
      <c r="JH6" s="49" t="s">
        <v>32</v>
      </c>
      <c r="JI6" s="49" t="s">
        <v>33</v>
      </c>
      <c r="JJ6" s="49" t="s">
        <v>4</v>
      </c>
      <c r="JK6" s="49" t="s">
        <v>10</v>
      </c>
      <c r="JL6" s="49" t="s">
        <v>34</v>
      </c>
      <c r="JM6" s="49" t="s">
        <v>35</v>
      </c>
      <c r="JN6" s="49" t="s">
        <v>9</v>
      </c>
      <c r="JO6" s="49" t="s">
        <v>6</v>
      </c>
      <c r="JP6" s="49" t="s">
        <v>5</v>
      </c>
      <c r="JQ6" s="49" t="s">
        <v>16</v>
      </c>
      <c r="JR6" s="49" t="s">
        <v>101</v>
      </c>
      <c r="JS6" s="49" t="s">
        <v>36</v>
      </c>
      <c r="JT6" s="49" t="s">
        <v>37</v>
      </c>
      <c r="JU6" s="49" t="s">
        <v>38</v>
      </c>
    </row>
    <row r="7" spans="1:281" ht="15" thickBot="1" x14ac:dyDescent="0.4">
      <c r="A7" s="61" t="s">
        <v>136</v>
      </c>
      <c r="B7" s="50"/>
      <c r="C7" s="64" t="s">
        <v>137</v>
      </c>
      <c r="D7" s="64" t="s">
        <v>138</v>
      </c>
      <c r="E7" s="64" t="s">
        <v>139</v>
      </c>
      <c r="F7" s="64" t="s">
        <v>140</v>
      </c>
      <c r="G7" s="64" t="s">
        <v>141</v>
      </c>
      <c r="H7" s="64" t="s">
        <v>142</v>
      </c>
      <c r="I7" s="64" t="s">
        <v>143</v>
      </c>
      <c r="J7" s="64" t="s">
        <v>144</v>
      </c>
      <c r="K7" s="64" t="s">
        <v>145</v>
      </c>
      <c r="L7" s="64" t="s">
        <v>146</v>
      </c>
      <c r="M7" s="64" t="s">
        <v>147</v>
      </c>
      <c r="N7" s="64" t="s">
        <v>148</v>
      </c>
      <c r="O7" s="64" t="s">
        <v>149</v>
      </c>
      <c r="P7" s="64" t="s">
        <v>150</v>
      </c>
      <c r="Q7" s="64" t="s">
        <v>151</v>
      </c>
      <c r="R7" s="64" t="s">
        <v>152</v>
      </c>
      <c r="S7" s="64" t="s">
        <v>153</v>
      </c>
      <c r="T7" s="64" t="s">
        <v>154</v>
      </c>
      <c r="U7" s="64" t="s">
        <v>155</v>
      </c>
      <c r="V7" s="64" t="s">
        <v>156</v>
      </c>
      <c r="W7" s="64" t="s">
        <v>157</v>
      </c>
      <c r="X7" s="64" t="s">
        <v>158</v>
      </c>
      <c r="Y7" s="64" t="s">
        <v>159</v>
      </c>
      <c r="Z7" s="64" t="s">
        <v>160</v>
      </c>
      <c r="AA7" s="64" t="s">
        <v>161</v>
      </c>
      <c r="AB7" s="64" t="s">
        <v>162</v>
      </c>
      <c r="AC7" s="64" t="s">
        <v>163</v>
      </c>
      <c r="AD7" s="64" t="s">
        <v>164</v>
      </c>
      <c r="AE7" s="64" t="s">
        <v>165</v>
      </c>
      <c r="AF7" s="64" t="s">
        <v>166</v>
      </c>
      <c r="AG7" s="64" t="s">
        <v>167</v>
      </c>
      <c r="AH7" s="64" t="s">
        <v>168</v>
      </c>
      <c r="AI7" s="64" t="s">
        <v>169</v>
      </c>
      <c r="AJ7" s="64" t="s">
        <v>170</v>
      </c>
      <c r="AK7" s="64" t="s">
        <v>171</v>
      </c>
      <c r="AL7" s="64" t="s">
        <v>172</v>
      </c>
      <c r="AM7" s="64" t="s">
        <v>173</v>
      </c>
      <c r="AN7" s="64" t="s">
        <v>174</v>
      </c>
      <c r="AO7" s="64" t="s">
        <v>175</v>
      </c>
      <c r="AP7" s="64" t="s">
        <v>176</v>
      </c>
      <c r="AQ7" s="64" t="s">
        <v>177</v>
      </c>
      <c r="AR7" s="64" t="s">
        <v>178</v>
      </c>
      <c r="AS7" s="64" t="s">
        <v>179</v>
      </c>
      <c r="AT7" s="64" t="s">
        <v>180</v>
      </c>
      <c r="AU7" s="64" t="s">
        <v>181</v>
      </c>
      <c r="AV7" s="64" t="s">
        <v>182</v>
      </c>
      <c r="AW7" s="64" t="s">
        <v>183</v>
      </c>
      <c r="AX7" s="64" t="s">
        <v>184</v>
      </c>
      <c r="AY7" s="64" t="s">
        <v>185</v>
      </c>
      <c r="AZ7" s="64" t="s">
        <v>186</v>
      </c>
      <c r="BA7" s="64" t="s">
        <v>187</v>
      </c>
      <c r="BB7" s="64" t="s">
        <v>188</v>
      </c>
      <c r="BC7" s="64" t="s">
        <v>189</v>
      </c>
      <c r="BD7" s="64" t="s">
        <v>190</v>
      </c>
      <c r="BE7" s="64" t="s">
        <v>191</v>
      </c>
      <c r="BF7" s="64" t="s">
        <v>192</v>
      </c>
      <c r="BG7" s="64" t="s">
        <v>193</v>
      </c>
      <c r="BH7" s="64" t="s">
        <v>194</v>
      </c>
      <c r="BI7" s="64" t="s">
        <v>195</v>
      </c>
      <c r="BJ7" s="64" t="s">
        <v>196</v>
      </c>
      <c r="BK7" s="64" t="s">
        <v>197</v>
      </c>
      <c r="BL7" s="64" t="s">
        <v>198</v>
      </c>
      <c r="BM7" s="64" t="s">
        <v>199</v>
      </c>
      <c r="BN7" s="64" t="s">
        <v>200</v>
      </c>
      <c r="BO7" s="64" t="s">
        <v>201</v>
      </c>
      <c r="BP7" s="64" t="s">
        <v>202</v>
      </c>
      <c r="BQ7" s="64" t="s">
        <v>203</v>
      </c>
      <c r="BR7" s="64" t="s">
        <v>204</v>
      </c>
      <c r="BS7" s="64" t="s">
        <v>205</v>
      </c>
      <c r="BT7" s="64" t="s">
        <v>206</v>
      </c>
      <c r="BU7" s="64" t="s">
        <v>207</v>
      </c>
      <c r="BV7" s="64" t="s">
        <v>208</v>
      </c>
      <c r="BW7" s="64" t="s">
        <v>209</v>
      </c>
      <c r="BX7" s="64" t="s">
        <v>210</v>
      </c>
      <c r="BY7" s="64" t="s">
        <v>211</v>
      </c>
      <c r="BZ7" s="64" t="s">
        <v>212</v>
      </c>
      <c r="CA7" s="64" t="s">
        <v>213</v>
      </c>
      <c r="CB7" s="64" t="s">
        <v>214</v>
      </c>
      <c r="CC7" s="64" t="s">
        <v>215</v>
      </c>
      <c r="CD7" s="64" t="s">
        <v>216</v>
      </c>
      <c r="CE7" s="64" t="s">
        <v>217</v>
      </c>
      <c r="CF7" s="64" t="s">
        <v>218</v>
      </c>
      <c r="CG7" s="64" t="s">
        <v>219</v>
      </c>
      <c r="CH7" s="64" t="s">
        <v>220</v>
      </c>
      <c r="CI7" s="64" t="s">
        <v>221</v>
      </c>
      <c r="CJ7" s="64" t="s">
        <v>222</v>
      </c>
      <c r="CK7" s="64" t="s">
        <v>223</v>
      </c>
      <c r="CL7" s="64" t="s">
        <v>224</v>
      </c>
      <c r="CM7" s="64" t="s">
        <v>225</v>
      </c>
      <c r="CN7" s="64" t="s">
        <v>226</v>
      </c>
      <c r="CO7" s="64" t="s">
        <v>227</v>
      </c>
      <c r="CP7" s="64" t="s">
        <v>228</v>
      </c>
      <c r="CQ7" s="64" t="s">
        <v>229</v>
      </c>
      <c r="CR7" s="64" t="s">
        <v>230</v>
      </c>
      <c r="CS7" s="64" t="s">
        <v>231</v>
      </c>
      <c r="CT7" s="64" t="s">
        <v>232</v>
      </c>
      <c r="CU7" s="64" t="s">
        <v>233</v>
      </c>
      <c r="CV7" s="64" t="s">
        <v>234</v>
      </c>
      <c r="CW7" s="64" t="s">
        <v>235</v>
      </c>
      <c r="CX7" s="64" t="s">
        <v>236</v>
      </c>
      <c r="CY7" s="64" t="s">
        <v>237</v>
      </c>
      <c r="CZ7" s="64" t="s">
        <v>238</v>
      </c>
      <c r="DA7" s="64" t="s">
        <v>239</v>
      </c>
      <c r="DB7" s="64" t="s">
        <v>240</v>
      </c>
      <c r="DC7" s="64" t="s">
        <v>241</v>
      </c>
      <c r="DD7" s="64" t="s">
        <v>242</v>
      </c>
      <c r="DE7" s="64" t="s">
        <v>243</v>
      </c>
      <c r="DF7" s="64" t="s">
        <v>244</v>
      </c>
      <c r="DG7" s="64" t="s">
        <v>245</v>
      </c>
      <c r="DH7" s="64" t="s">
        <v>246</v>
      </c>
      <c r="DI7" s="64" t="s">
        <v>247</v>
      </c>
      <c r="DJ7" s="64" t="s">
        <v>248</v>
      </c>
      <c r="DK7" s="64" t="s">
        <v>249</v>
      </c>
      <c r="DL7" s="64" t="s">
        <v>250</v>
      </c>
      <c r="DM7" s="64" t="s">
        <v>251</v>
      </c>
      <c r="DN7" s="64" t="s">
        <v>252</v>
      </c>
      <c r="DO7" s="64" t="s">
        <v>253</v>
      </c>
      <c r="DP7" s="64" t="s">
        <v>254</v>
      </c>
      <c r="DQ7" s="64" t="s">
        <v>255</v>
      </c>
      <c r="DR7" s="64" t="s">
        <v>256</v>
      </c>
      <c r="DS7" s="64" t="s">
        <v>257</v>
      </c>
      <c r="DT7" s="64" t="s">
        <v>258</v>
      </c>
      <c r="DU7" s="64" t="s">
        <v>259</v>
      </c>
      <c r="DV7" s="64" t="s">
        <v>260</v>
      </c>
      <c r="DW7" s="64" t="s">
        <v>261</v>
      </c>
      <c r="DX7" s="64" t="s">
        <v>262</v>
      </c>
      <c r="DY7" s="64" t="s">
        <v>263</v>
      </c>
      <c r="DZ7" s="64" t="s">
        <v>264</v>
      </c>
      <c r="EA7" s="64" t="s">
        <v>265</v>
      </c>
      <c r="EB7" s="64" t="s">
        <v>266</v>
      </c>
      <c r="EC7" s="64" t="s">
        <v>267</v>
      </c>
      <c r="ED7" s="64" t="s">
        <v>268</v>
      </c>
      <c r="EE7" s="64" t="s">
        <v>269</v>
      </c>
      <c r="EF7" s="64" t="s">
        <v>270</v>
      </c>
      <c r="EG7" s="64" t="s">
        <v>271</v>
      </c>
      <c r="EH7" s="64" t="s">
        <v>272</v>
      </c>
      <c r="EI7" s="64" t="s">
        <v>273</v>
      </c>
      <c r="EJ7" s="64" t="s">
        <v>274</v>
      </c>
      <c r="EK7" s="64" t="s">
        <v>275</v>
      </c>
      <c r="EL7" s="64" t="s">
        <v>276</v>
      </c>
      <c r="EM7" s="64" t="s">
        <v>277</v>
      </c>
      <c r="EN7" s="64" t="s">
        <v>278</v>
      </c>
      <c r="EO7" s="64" t="s">
        <v>279</v>
      </c>
      <c r="EP7" s="64" t="s">
        <v>280</v>
      </c>
      <c r="EQ7" s="64" t="s">
        <v>281</v>
      </c>
      <c r="ER7" s="64" t="s">
        <v>282</v>
      </c>
      <c r="ES7" s="64" t="s">
        <v>283</v>
      </c>
      <c r="ET7" s="64" t="s">
        <v>284</v>
      </c>
      <c r="EU7" s="64" t="s">
        <v>285</v>
      </c>
      <c r="EV7" s="64" t="s">
        <v>286</v>
      </c>
      <c r="EW7" s="64" t="s">
        <v>287</v>
      </c>
      <c r="EX7" s="64" t="s">
        <v>288</v>
      </c>
      <c r="EY7" s="64" t="s">
        <v>289</v>
      </c>
      <c r="EZ7" s="64" t="s">
        <v>290</v>
      </c>
      <c r="FA7" s="64" t="s">
        <v>291</v>
      </c>
      <c r="FB7" s="64" t="s">
        <v>292</v>
      </c>
      <c r="FC7" s="64" t="s">
        <v>293</v>
      </c>
      <c r="FD7" s="64" t="s">
        <v>294</v>
      </c>
      <c r="FE7" s="64" t="s">
        <v>295</v>
      </c>
      <c r="FF7" s="64" t="s">
        <v>296</v>
      </c>
      <c r="FG7" s="64" t="s">
        <v>297</v>
      </c>
      <c r="FH7" s="64" t="s">
        <v>298</v>
      </c>
      <c r="FI7" s="64" t="s">
        <v>299</v>
      </c>
      <c r="FJ7" s="64" t="s">
        <v>300</v>
      </c>
      <c r="FK7" s="63" t="s">
        <v>301</v>
      </c>
      <c r="FL7" s="63" t="s">
        <v>302</v>
      </c>
      <c r="FM7" s="63" t="s">
        <v>303</v>
      </c>
      <c r="FN7" s="63" t="s">
        <v>304</v>
      </c>
      <c r="FO7" s="63" t="s">
        <v>305</v>
      </c>
      <c r="FP7" s="63" t="s">
        <v>306</v>
      </c>
      <c r="FQ7" s="63" t="s">
        <v>307</v>
      </c>
      <c r="FR7" s="63" t="s">
        <v>308</v>
      </c>
      <c r="FS7" s="63" t="s">
        <v>309</v>
      </c>
      <c r="FT7" s="63" t="s">
        <v>310</v>
      </c>
      <c r="FU7" s="63" t="s">
        <v>311</v>
      </c>
      <c r="FV7" s="63" t="s">
        <v>312</v>
      </c>
      <c r="FW7" s="63" t="s">
        <v>313</v>
      </c>
      <c r="FX7" s="63" t="s">
        <v>314</v>
      </c>
      <c r="FY7" s="63" t="s">
        <v>315</v>
      </c>
      <c r="FZ7" s="63" t="s">
        <v>316</v>
      </c>
      <c r="GA7" s="63" t="s">
        <v>317</v>
      </c>
      <c r="GB7" s="63" t="s">
        <v>318</v>
      </c>
      <c r="GC7" s="63" t="s">
        <v>319</v>
      </c>
      <c r="GD7" s="63" t="s">
        <v>320</v>
      </c>
      <c r="GE7" s="63" t="s">
        <v>321</v>
      </c>
      <c r="GF7" s="63" t="s">
        <v>322</v>
      </c>
      <c r="GG7" s="63" t="s">
        <v>323</v>
      </c>
      <c r="GH7" s="63" t="s">
        <v>324</v>
      </c>
      <c r="GI7" s="63" t="s">
        <v>325</v>
      </c>
      <c r="GJ7" s="63" t="s">
        <v>326</v>
      </c>
      <c r="GK7" s="63" t="s">
        <v>327</v>
      </c>
      <c r="GL7" s="63" t="s">
        <v>328</v>
      </c>
      <c r="GM7" s="63" t="s">
        <v>329</v>
      </c>
      <c r="GN7" s="63" t="s">
        <v>330</v>
      </c>
      <c r="GO7" s="63" t="s">
        <v>331</v>
      </c>
      <c r="GP7" s="63" t="s">
        <v>332</v>
      </c>
      <c r="GQ7" s="63" t="s">
        <v>333</v>
      </c>
      <c r="GR7" s="63" t="s">
        <v>334</v>
      </c>
      <c r="GS7" s="63" t="s">
        <v>335</v>
      </c>
      <c r="GT7" s="63" t="s">
        <v>336</v>
      </c>
      <c r="GU7" s="63" t="s">
        <v>337</v>
      </c>
      <c r="GV7" s="63" t="s">
        <v>338</v>
      </c>
      <c r="GW7" s="63" t="s">
        <v>339</v>
      </c>
      <c r="GX7" s="63" t="s">
        <v>340</v>
      </c>
      <c r="GY7" s="63" t="s">
        <v>341</v>
      </c>
      <c r="GZ7" s="63" t="s">
        <v>342</v>
      </c>
      <c r="HA7" s="63" t="s">
        <v>343</v>
      </c>
      <c r="HB7" s="63" t="s">
        <v>344</v>
      </c>
      <c r="HC7" s="63" t="s">
        <v>345</v>
      </c>
      <c r="HD7" s="63" t="s">
        <v>346</v>
      </c>
      <c r="HE7" s="63" t="s">
        <v>347</v>
      </c>
      <c r="HF7" s="63" t="s">
        <v>348</v>
      </c>
      <c r="HG7" s="64" t="s">
        <v>349</v>
      </c>
      <c r="HH7" s="64" t="s">
        <v>350</v>
      </c>
      <c r="HI7" s="64" t="s">
        <v>351</v>
      </c>
      <c r="HJ7" s="64" t="s">
        <v>352</v>
      </c>
      <c r="HK7" s="64" t="s">
        <v>353</v>
      </c>
      <c r="HL7" s="64" t="s">
        <v>354</v>
      </c>
      <c r="HM7" s="64" t="s">
        <v>355</v>
      </c>
      <c r="HN7" s="64" t="s">
        <v>356</v>
      </c>
      <c r="HO7" s="64" t="s">
        <v>357</v>
      </c>
      <c r="HP7" s="64" t="s">
        <v>358</v>
      </c>
      <c r="HQ7" s="64" t="s">
        <v>359</v>
      </c>
      <c r="HR7" s="64" t="s">
        <v>360</v>
      </c>
      <c r="HS7" s="64" t="s">
        <v>361</v>
      </c>
      <c r="HT7" s="64" t="s">
        <v>362</v>
      </c>
      <c r="HU7" s="64" t="s">
        <v>363</v>
      </c>
      <c r="HV7" s="64" t="s">
        <v>364</v>
      </c>
      <c r="HW7" s="64" t="s">
        <v>365</v>
      </c>
      <c r="HX7" s="64" t="s">
        <v>366</v>
      </c>
      <c r="HY7" s="64" t="s">
        <v>367</v>
      </c>
      <c r="HZ7" s="64" t="s">
        <v>368</v>
      </c>
      <c r="IA7" s="64" t="s">
        <v>369</v>
      </c>
      <c r="IB7" s="64" t="s">
        <v>370</v>
      </c>
      <c r="IC7" s="64" t="s">
        <v>371</v>
      </c>
      <c r="ID7" s="64" t="s">
        <v>372</v>
      </c>
      <c r="IE7" s="64" t="s">
        <v>373</v>
      </c>
      <c r="IF7" s="64" t="s">
        <v>374</v>
      </c>
      <c r="IG7" s="64" t="s">
        <v>375</v>
      </c>
      <c r="IH7" s="64" t="s">
        <v>376</v>
      </c>
      <c r="II7" s="64" t="s">
        <v>377</v>
      </c>
      <c r="IJ7" s="64" t="s">
        <v>378</v>
      </c>
      <c r="IK7" s="64" t="s">
        <v>379</v>
      </c>
      <c r="IL7" s="64" t="s">
        <v>380</v>
      </c>
      <c r="IM7" s="64" t="s">
        <v>381</v>
      </c>
      <c r="IN7" s="64" t="s">
        <v>382</v>
      </c>
      <c r="IO7" s="64" t="s">
        <v>383</v>
      </c>
      <c r="IP7" s="64" t="s">
        <v>384</v>
      </c>
      <c r="IQ7" s="64" t="s">
        <v>385</v>
      </c>
      <c r="IR7" s="64" t="s">
        <v>386</v>
      </c>
      <c r="IS7" s="64" t="s">
        <v>387</v>
      </c>
      <c r="IT7" s="64" t="s">
        <v>388</v>
      </c>
      <c r="IU7" s="64" t="s">
        <v>389</v>
      </c>
      <c r="IV7" s="64" t="s">
        <v>390</v>
      </c>
      <c r="IW7" s="64" t="s">
        <v>391</v>
      </c>
      <c r="IX7" s="64" t="s">
        <v>392</v>
      </c>
      <c r="IY7" s="64" t="s">
        <v>393</v>
      </c>
      <c r="IZ7" s="64" t="s">
        <v>394</v>
      </c>
      <c r="JA7" s="64" t="s">
        <v>395</v>
      </c>
      <c r="JB7" s="64" t="s">
        <v>396</v>
      </c>
      <c r="JC7" s="63" t="s">
        <v>397</v>
      </c>
      <c r="JD7" s="63" t="s">
        <v>398</v>
      </c>
      <c r="JE7" s="63" t="s">
        <v>399</v>
      </c>
      <c r="JF7" s="63" t="s">
        <v>400</v>
      </c>
      <c r="JG7" s="63" t="s">
        <v>401</v>
      </c>
      <c r="JH7" s="63" t="s">
        <v>402</v>
      </c>
      <c r="JI7" s="63" t="s">
        <v>403</v>
      </c>
      <c r="JJ7" s="63" t="s">
        <v>404</v>
      </c>
      <c r="JK7" s="63" t="s">
        <v>405</v>
      </c>
      <c r="JL7" s="63" t="s">
        <v>406</v>
      </c>
      <c r="JM7" s="63" t="s">
        <v>407</v>
      </c>
      <c r="JN7" s="63" t="s">
        <v>408</v>
      </c>
      <c r="JO7" s="63" t="s">
        <v>409</v>
      </c>
      <c r="JP7" s="63" t="s">
        <v>410</v>
      </c>
      <c r="JQ7" s="63" t="s">
        <v>411</v>
      </c>
      <c r="JR7" s="63" t="s">
        <v>412</v>
      </c>
      <c r="JS7" s="63" t="s">
        <v>413</v>
      </c>
      <c r="JT7" s="63" t="s">
        <v>414</v>
      </c>
      <c r="JU7" s="63" t="s">
        <v>415</v>
      </c>
    </row>
    <row r="8" spans="1:281" x14ac:dyDescent="0.35">
      <c r="B8" s="50" t="s">
        <v>418</v>
      </c>
      <c r="C8">
        <v>0</v>
      </c>
      <c r="D8">
        <v>1</v>
      </c>
      <c r="E8">
        <v>0</v>
      </c>
      <c r="F8">
        <v>0</v>
      </c>
      <c r="G8">
        <v>1</v>
      </c>
      <c r="H8">
        <v>1</v>
      </c>
      <c r="I8">
        <v>0</v>
      </c>
      <c r="J8">
        <v>0</v>
      </c>
      <c r="K8">
        <v>0</v>
      </c>
      <c r="L8">
        <v>1</v>
      </c>
      <c r="M8">
        <v>0</v>
      </c>
      <c r="N8">
        <v>0</v>
      </c>
      <c r="O8">
        <v>1</v>
      </c>
      <c r="P8">
        <v>1</v>
      </c>
      <c r="Q8">
        <v>1</v>
      </c>
      <c r="R8">
        <v>0</v>
      </c>
      <c r="S8">
        <v>0</v>
      </c>
      <c r="T8">
        <v>1</v>
      </c>
      <c r="U8">
        <v>0</v>
      </c>
      <c r="V8">
        <v>0</v>
      </c>
      <c r="W8">
        <v>0</v>
      </c>
      <c r="X8">
        <v>0</v>
      </c>
      <c r="Y8">
        <v>0</v>
      </c>
      <c r="Z8">
        <v>1</v>
      </c>
      <c r="AA8">
        <v>0</v>
      </c>
      <c r="AB8">
        <v>0</v>
      </c>
      <c r="AC8">
        <v>0</v>
      </c>
      <c r="AD8">
        <v>0</v>
      </c>
      <c r="AE8">
        <v>0</v>
      </c>
      <c r="AF8">
        <v>0</v>
      </c>
      <c r="AG8">
        <v>0</v>
      </c>
      <c r="AH8">
        <v>0</v>
      </c>
      <c r="AI8">
        <v>0</v>
      </c>
      <c r="AJ8">
        <v>0</v>
      </c>
      <c r="AK8">
        <v>1</v>
      </c>
      <c r="AL8">
        <v>0</v>
      </c>
      <c r="AM8">
        <v>0</v>
      </c>
      <c r="AN8">
        <v>0</v>
      </c>
      <c r="AO8">
        <v>1</v>
      </c>
      <c r="AP8">
        <v>0</v>
      </c>
      <c r="AQ8">
        <v>0</v>
      </c>
      <c r="AR8">
        <v>1</v>
      </c>
      <c r="AS8">
        <v>1</v>
      </c>
      <c r="AT8">
        <v>0</v>
      </c>
      <c r="AU8">
        <v>0</v>
      </c>
      <c r="AV8">
        <v>1</v>
      </c>
      <c r="AW8">
        <v>0</v>
      </c>
      <c r="AX8">
        <v>0</v>
      </c>
      <c r="AY8">
        <v>1</v>
      </c>
      <c r="AZ8">
        <v>1</v>
      </c>
      <c r="BA8">
        <v>0</v>
      </c>
      <c r="BB8">
        <v>0</v>
      </c>
      <c r="BC8">
        <v>0</v>
      </c>
      <c r="BD8">
        <v>0</v>
      </c>
      <c r="BE8">
        <v>1</v>
      </c>
      <c r="BF8">
        <v>0</v>
      </c>
      <c r="BG8">
        <v>0</v>
      </c>
      <c r="BH8">
        <v>0</v>
      </c>
      <c r="BI8">
        <v>1</v>
      </c>
      <c r="BJ8">
        <v>1</v>
      </c>
      <c r="BK8">
        <v>1</v>
      </c>
      <c r="BL8">
        <v>0</v>
      </c>
      <c r="BM8">
        <v>1</v>
      </c>
      <c r="BN8">
        <v>1</v>
      </c>
      <c r="BO8">
        <v>0</v>
      </c>
      <c r="BP8">
        <v>1</v>
      </c>
      <c r="BQ8">
        <v>0</v>
      </c>
      <c r="BR8">
        <v>0</v>
      </c>
      <c r="BS8">
        <v>1</v>
      </c>
      <c r="BT8">
        <v>1</v>
      </c>
      <c r="BU8">
        <v>0</v>
      </c>
      <c r="BV8">
        <v>0</v>
      </c>
      <c r="BW8">
        <v>1</v>
      </c>
      <c r="BX8">
        <v>0</v>
      </c>
      <c r="BY8">
        <v>0</v>
      </c>
      <c r="BZ8">
        <v>0</v>
      </c>
      <c r="CA8">
        <v>1</v>
      </c>
      <c r="CB8">
        <v>1</v>
      </c>
      <c r="CC8">
        <v>1</v>
      </c>
      <c r="CD8">
        <v>1</v>
      </c>
      <c r="CE8">
        <v>1</v>
      </c>
      <c r="CF8">
        <v>1</v>
      </c>
      <c r="CG8">
        <v>1</v>
      </c>
      <c r="CH8">
        <v>1</v>
      </c>
      <c r="CI8">
        <v>0</v>
      </c>
      <c r="CJ8">
        <v>0</v>
      </c>
      <c r="CK8">
        <v>0</v>
      </c>
      <c r="CL8">
        <v>0</v>
      </c>
      <c r="CM8">
        <v>0</v>
      </c>
      <c r="CN8">
        <v>1</v>
      </c>
      <c r="CO8">
        <v>2</v>
      </c>
      <c r="CP8">
        <v>1</v>
      </c>
      <c r="CQ8">
        <v>0</v>
      </c>
      <c r="CR8">
        <v>1</v>
      </c>
      <c r="CS8">
        <v>2</v>
      </c>
      <c r="CT8">
        <v>1</v>
      </c>
      <c r="CU8">
        <v>1</v>
      </c>
      <c r="CV8">
        <v>0</v>
      </c>
      <c r="CW8">
        <v>0</v>
      </c>
      <c r="CX8">
        <v>1</v>
      </c>
      <c r="CY8">
        <v>1</v>
      </c>
      <c r="CZ8">
        <v>1</v>
      </c>
      <c r="DA8">
        <v>0</v>
      </c>
      <c r="DB8">
        <v>0</v>
      </c>
      <c r="DC8">
        <v>0</v>
      </c>
      <c r="DD8">
        <v>0</v>
      </c>
      <c r="DE8">
        <v>0</v>
      </c>
      <c r="DF8">
        <v>0</v>
      </c>
      <c r="DG8">
        <v>0</v>
      </c>
      <c r="DH8">
        <v>0</v>
      </c>
      <c r="DI8">
        <v>0</v>
      </c>
      <c r="DJ8">
        <v>0</v>
      </c>
      <c r="DK8">
        <v>1</v>
      </c>
      <c r="DL8">
        <v>1</v>
      </c>
      <c r="DM8">
        <v>0</v>
      </c>
      <c r="DN8">
        <v>1</v>
      </c>
      <c r="DO8">
        <v>1</v>
      </c>
      <c r="DP8">
        <v>1</v>
      </c>
      <c r="DQ8">
        <v>0</v>
      </c>
      <c r="DR8">
        <v>0</v>
      </c>
      <c r="DS8">
        <v>1</v>
      </c>
      <c r="DT8">
        <v>1</v>
      </c>
      <c r="DU8">
        <v>1</v>
      </c>
      <c r="DV8">
        <v>1</v>
      </c>
      <c r="DW8">
        <v>1</v>
      </c>
      <c r="DX8">
        <v>0</v>
      </c>
      <c r="DY8">
        <v>1</v>
      </c>
      <c r="DZ8">
        <v>1</v>
      </c>
      <c r="EA8">
        <v>0</v>
      </c>
      <c r="EB8">
        <v>0</v>
      </c>
      <c r="EC8">
        <v>0</v>
      </c>
      <c r="ED8">
        <v>0</v>
      </c>
      <c r="EE8">
        <v>1</v>
      </c>
      <c r="EF8">
        <v>1</v>
      </c>
      <c r="EG8">
        <v>0</v>
      </c>
      <c r="EH8">
        <v>1</v>
      </c>
      <c r="EI8">
        <v>1</v>
      </c>
      <c r="EJ8">
        <v>0</v>
      </c>
      <c r="EK8">
        <v>1</v>
      </c>
      <c r="EL8">
        <v>1</v>
      </c>
      <c r="EM8">
        <v>0</v>
      </c>
      <c r="EN8">
        <v>0</v>
      </c>
      <c r="EO8">
        <v>0</v>
      </c>
      <c r="EP8">
        <v>0</v>
      </c>
      <c r="EQ8">
        <v>0</v>
      </c>
      <c r="ER8">
        <v>0</v>
      </c>
      <c r="ES8">
        <v>0</v>
      </c>
      <c r="ET8">
        <v>1</v>
      </c>
      <c r="EU8">
        <v>1</v>
      </c>
      <c r="EV8">
        <v>0</v>
      </c>
      <c r="EW8">
        <v>1</v>
      </c>
      <c r="EX8">
        <v>1</v>
      </c>
      <c r="EY8">
        <v>1</v>
      </c>
      <c r="EZ8">
        <v>1</v>
      </c>
      <c r="FA8">
        <v>1</v>
      </c>
      <c r="FB8">
        <v>1</v>
      </c>
      <c r="FC8">
        <v>1</v>
      </c>
      <c r="FD8">
        <v>0</v>
      </c>
      <c r="FE8">
        <v>0</v>
      </c>
      <c r="FF8">
        <v>0</v>
      </c>
      <c r="FG8">
        <v>1</v>
      </c>
      <c r="FH8">
        <v>0</v>
      </c>
      <c r="FI8">
        <v>0</v>
      </c>
      <c r="FJ8">
        <v>0</v>
      </c>
      <c r="FK8">
        <v>0</v>
      </c>
      <c r="FL8">
        <v>1</v>
      </c>
      <c r="FM8">
        <v>1</v>
      </c>
      <c r="FN8">
        <v>1</v>
      </c>
      <c r="FO8">
        <v>0</v>
      </c>
      <c r="FP8">
        <v>1</v>
      </c>
      <c r="FQ8">
        <v>0</v>
      </c>
      <c r="FR8">
        <v>1</v>
      </c>
      <c r="FS8">
        <v>0</v>
      </c>
      <c r="FT8">
        <v>1</v>
      </c>
      <c r="FU8">
        <v>1</v>
      </c>
      <c r="FV8">
        <v>1</v>
      </c>
      <c r="FW8">
        <v>0</v>
      </c>
      <c r="FX8">
        <v>0</v>
      </c>
      <c r="FY8">
        <v>0</v>
      </c>
      <c r="FZ8">
        <v>1</v>
      </c>
      <c r="GA8">
        <v>1</v>
      </c>
      <c r="GB8">
        <v>1</v>
      </c>
      <c r="GC8">
        <v>0</v>
      </c>
      <c r="GD8">
        <v>1</v>
      </c>
      <c r="GE8">
        <v>1</v>
      </c>
      <c r="GF8">
        <v>1</v>
      </c>
      <c r="GG8">
        <v>0</v>
      </c>
      <c r="GH8">
        <v>0</v>
      </c>
      <c r="GI8">
        <v>0</v>
      </c>
      <c r="GJ8">
        <v>1</v>
      </c>
      <c r="GK8">
        <v>0</v>
      </c>
      <c r="GL8">
        <v>1</v>
      </c>
      <c r="GM8">
        <v>1</v>
      </c>
      <c r="GN8">
        <v>1</v>
      </c>
      <c r="GO8">
        <v>1</v>
      </c>
      <c r="GP8">
        <v>1</v>
      </c>
      <c r="GQ8">
        <v>0</v>
      </c>
      <c r="GR8">
        <v>1</v>
      </c>
      <c r="GS8">
        <v>1</v>
      </c>
      <c r="GT8">
        <v>0</v>
      </c>
      <c r="GU8">
        <v>0</v>
      </c>
      <c r="GV8">
        <v>0</v>
      </c>
      <c r="GW8">
        <v>0</v>
      </c>
      <c r="GX8">
        <v>1</v>
      </c>
      <c r="GY8">
        <v>1</v>
      </c>
      <c r="GZ8">
        <v>1</v>
      </c>
      <c r="HA8">
        <v>1</v>
      </c>
      <c r="HB8">
        <v>1</v>
      </c>
      <c r="HC8">
        <v>0</v>
      </c>
      <c r="HD8">
        <v>1</v>
      </c>
      <c r="HE8">
        <v>0</v>
      </c>
      <c r="HF8">
        <v>1</v>
      </c>
      <c r="HG8">
        <v>1</v>
      </c>
      <c r="HH8">
        <v>0</v>
      </c>
      <c r="HI8">
        <v>4</v>
      </c>
      <c r="HJ8">
        <v>2</v>
      </c>
      <c r="HK8">
        <v>1</v>
      </c>
      <c r="HL8">
        <v>1</v>
      </c>
      <c r="HM8">
        <v>3</v>
      </c>
      <c r="HN8">
        <v>2</v>
      </c>
      <c r="HO8">
        <v>2</v>
      </c>
      <c r="HP8">
        <v>2</v>
      </c>
      <c r="HQ8">
        <v>4</v>
      </c>
      <c r="HR8">
        <v>0</v>
      </c>
      <c r="HS8">
        <v>3</v>
      </c>
      <c r="HT8">
        <v>2</v>
      </c>
      <c r="HU8">
        <v>3</v>
      </c>
      <c r="HV8">
        <v>2</v>
      </c>
      <c r="HW8">
        <v>2</v>
      </c>
      <c r="HX8">
        <v>3</v>
      </c>
      <c r="HY8">
        <v>3</v>
      </c>
      <c r="HZ8">
        <v>1</v>
      </c>
      <c r="IA8">
        <v>0</v>
      </c>
      <c r="IB8">
        <v>2</v>
      </c>
      <c r="IC8">
        <v>2</v>
      </c>
      <c r="ID8">
        <v>1</v>
      </c>
      <c r="IE8">
        <v>4</v>
      </c>
      <c r="IF8">
        <v>3</v>
      </c>
      <c r="IG8">
        <v>2</v>
      </c>
      <c r="IH8">
        <v>1</v>
      </c>
      <c r="II8">
        <v>0</v>
      </c>
      <c r="IJ8">
        <v>1</v>
      </c>
      <c r="IK8">
        <v>2</v>
      </c>
      <c r="IL8">
        <v>2</v>
      </c>
      <c r="IM8">
        <v>0</v>
      </c>
      <c r="IN8">
        <v>1</v>
      </c>
      <c r="IO8">
        <v>1</v>
      </c>
      <c r="IP8">
        <v>0</v>
      </c>
      <c r="IQ8">
        <v>0</v>
      </c>
      <c r="IR8">
        <v>0</v>
      </c>
      <c r="IS8">
        <v>1</v>
      </c>
      <c r="IT8">
        <v>0</v>
      </c>
      <c r="IU8">
        <v>1</v>
      </c>
      <c r="IV8">
        <v>1</v>
      </c>
      <c r="IW8">
        <v>1</v>
      </c>
      <c r="IX8">
        <v>1</v>
      </c>
      <c r="IY8">
        <v>1</v>
      </c>
      <c r="IZ8">
        <v>0</v>
      </c>
      <c r="JA8">
        <v>0</v>
      </c>
      <c r="JB8">
        <v>1</v>
      </c>
      <c r="JC8">
        <v>1</v>
      </c>
      <c r="JD8">
        <v>1</v>
      </c>
      <c r="JE8">
        <v>1</v>
      </c>
      <c r="JF8">
        <v>0</v>
      </c>
      <c r="JG8">
        <v>0</v>
      </c>
      <c r="JH8">
        <v>1</v>
      </c>
      <c r="JI8">
        <v>1</v>
      </c>
      <c r="JJ8">
        <v>0</v>
      </c>
      <c r="JK8">
        <v>1</v>
      </c>
      <c r="JL8">
        <v>0</v>
      </c>
      <c r="JM8">
        <v>0</v>
      </c>
      <c r="JN8">
        <v>0</v>
      </c>
      <c r="JO8">
        <v>0</v>
      </c>
      <c r="JP8">
        <v>0</v>
      </c>
      <c r="JQ8">
        <v>0</v>
      </c>
      <c r="JR8">
        <v>0</v>
      </c>
      <c r="JS8">
        <v>1</v>
      </c>
      <c r="JT8">
        <v>0</v>
      </c>
      <c r="JU8">
        <v>1</v>
      </c>
    </row>
  </sheetData>
  <mergeCells count="27">
    <mergeCell ref="IK6:IL6"/>
    <mergeCell ref="HS6:HT6"/>
    <mergeCell ref="IC6:ID6"/>
    <mergeCell ref="IE6:IF6"/>
    <mergeCell ref="IG6:IH6"/>
    <mergeCell ref="II6:IJ6"/>
    <mergeCell ref="IA6:IB6"/>
    <mergeCell ref="A1:K2"/>
    <mergeCell ref="CU6:DI6"/>
    <mergeCell ref="DJ6:DZ6"/>
    <mergeCell ref="EA6:ES6"/>
    <mergeCell ref="ET6:FJ6"/>
    <mergeCell ref="C6:Q6"/>
    <mergeCell ref="R6:AF6"/>
    <mergeCell ref="AG6:AU6"/>
    <mergeCell ref="AV6:BJ6"/>
    <mergeCell ref="BK6:BY6"/>
    <mergeCell ref="BZ6:CN6"/>
    <mergeCell ref="HG6:HH6"/>
    <mergeCell ref="HI6:HJ6"/>
    <mergeCell ref="HU6:HV6"/>
    <mergeCell ref="HW6:HX6"/>
    <mergeCell ref="HY6:HZ6"/>
    <mergeCell ref="HK6:HL6"/>
    <mergeCell ref="HM6:HN6"/>
    <mergeCell ref="HO6:HP6"/>
    <mergeCell ref="HQ6:HR6"/>
  </mergeCells>
  <phoneticPr fontId="1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5"/>
  <sheetViews>
    <sheetView topLeftCell="A6" workbookViewId="0">
      <selection activeCell="D105" sqref="D105"/>
    </sheetView>
  </sheetViews>
  <sheetFormatPr defaultColWidth="9.1796875" defaultRowHeight="14.5" x14ac:dyDescent="0.35"/>
  <cols>
    <col min="1" max="2" width="9.1796875" style="2"/>
    <col min="3" max="3" width="7" style="2" customWidth="1"/>
    <col min="4" max="16384" width="9.1796875" style="2"/>
  </cols>
  <sheetData>
    <row r="1" spans="1:5" x14ac:dyDescent="0.35">
      <c r="A1" s="2" t="s">
        <v>64</v>
      </c>
    </row>
    <row r="3" spans="1:5" ht="15" thickBot="1" x14ac:dyDescent="0.4">
      <c r="B3" s="2" t="s">
        <v>0</v>
      </c>
      <c r="D3" s="2" t="s">
        <v>1</v>
      </c>
      <c r="E3" s="2" t="s">
        <v>8</v>
      </c>
    </row>
    <row r="4" spans="1:5" ht="15" thickBot="1" x14ac:dyDescent="0.4">
      <c r="A4" s="1" t="s">
        <v>2</v>
      </c>
      <c r="B4" s="2">
        <v>1</v>
      </c>
      <c r="D4" s="15">
        <f>Dashboard!C8</f>
        <v>0</v>
      </c>
    </row>
    <row r="5" spans="1:5" ht="15" thickBot="1" x14ac:dyDescent="0.4">
      <c r="B5" s="2">
        <v>2</v>
      </c>
      <c r="D5" s="15">
        <f>Dashboard!D8</f>
        <v>1</v>
      </c>
    </row>
    <row r="6" spans="1:5" ht="15" thickBot="1" x14ac:dyDescent="0.4">
      <c r="B6" s="2">
        <v>3</v>
      </c>
      <c r="D6" s="15">
        <f>Dashboard!E8</f>
        <v>0</v>
      </c>
    </row>
    <row r="7" spans="1:5" ht="15" thickBot="1" x14ac:dyDescent="0.4">
      <c r="B7" s="2">
        <v>4</v>
      </c>
      <c r="D7" s="15">
        <f>Dashboard!F8</f>
        <v>0</v>
      </c>
    </row>
    <row r="8" spans="1:5" ht="15" thickBot="1" x14ac:dyDescent="0.4">
      <c r="B8" s="2">
        <v>5</v>
      </c>
      <c r="D8" s="15">
        <f>Dashboard!G8</f>
        <v>1</v>
      </c>
    </row>
    <row r="9" spans="1:5" ht="15" thickBot="1" x14ac:dyDescent="0.4">
      <c r="B9" s="2">
        <v>6</v>
      </c>
      <c r="D9" s="15">
        <f>Dashboard!H8</f>
        <v>1</v>
      </c>
    </row>
    <row r="10" spans="1:5" ht="15" thickBot="1" x14ac:dyDescent="0.4">
      <c r="B10" s="2">
        <v>7</v>
      </c>
      <c r="D10" s="15">
        <f>Dashboard!I8</f>
        <v>0</v>
      </c>
    </row>
    <row r="11" spans="1:5" ht="15" thickBot="1" x14ac:dyDescent="0.4">
      <c r="B11" s="2">
        <v>8</v>
      </c>
      <c r="D11" s="15">
        <f>Dashboard!J8</f>
        <v>0</v>
      </c>
    </row>
    <row r="12" spans="1:5" ht="15" thickBot="1" x14ac:dyDescent="0.4">
      <c r="B12" s="2">
        <v>9</v>
      </c>
      <c r="D12" s="15">
        <f>Dashboard!K8</f>
        <v>0</v>
      </c>
    </row>
    <row r="13" spans="1:5" ht="15" thickBot="1" x14ac:dyDescent="0.4">
      <c r="B13" s="2">
        <v>10</v>
      </c>
      <c r="D13" s="15">
        <f>Dashboard!L8</f>
        <v>1</v>
      </c>
    </row>
    <row r="14" spans="1:5" ht="15" thickBot="1" x14ac:dyDescent="0.4">
      <c r="B14" s="2">
        <v>11</v>
      </c>
      <c r="D14" s="15">
        <f>Dashboard!M8</f>
        <v>0</v>
      </c>
    </row>
    <row r="15" spans="1:5" ht="14.25" customHeight="1" thickBot="1" x14ac:dyDescent="0.4">
      <c r="B15" s="2">
        <v>12</v>
      </c>
      <c r="D15" s="15">
        <f>Dashboard!N8</f>
        <v>0</v>
      </c>
    </row>
    <row r="16" spans="1:5" ht="15" thickBot="1" x14ac:dyDescent="0.4">
      <c r="B16" s="2">
        <v>13</v>
      </c>
      <c r="D16" s="15">
        <f>Dashboard!O8</f>
        <v>1</v>
      </c>
    </row>
    <row r="17" spans="1:6" ht="15" thickBot="1" x14ac:dyDescent="0.4">
      <c r="B17" s="2">
        <v>14</v>
      </c>
      <c r="D17" s="15">
        <f>Dashboard!P8</f>
        <v>1</v>
      </c>
    </row>
    <row r="18" spans="1:6" x14ac:dyDescent="0.35">
      <c r="B18" s="2">
        <v>15</v>
      </c>
      <c r="D18" s="15">
        <f>Dashboard!Q8</f>
        <v>1</v>
      </c>
    </row>
    <row r="19" spans="1:6" ht="15" thickBot="1" x14ac:dyDescent="0.4">
      <c r="D19" s="27">
        <f>D105+R117</f>
        <v>2</v>
      </c>
      <c r="E19" s="2">
        <f>SUM(D4:D19)</f>
        <v>9</v>
      </c>
      <c r="F19" s="2">
        <f>E19</f>
        <v>9</v>
      </c>
    </row>
    <row r="20" spans="1:6" x14ac:dyDescent="0.35">
      <c r="A20" s="1" t="s">
        <v>3</v>
      </c>
      <c r="B20" s="2">
        <v>16</v>
      </c>
      <c r="D20" s="24">
        <f>Dashboard!R8</f>
        <v>0</v>
      </c>
    </row>
    <row r="21" spans="1:6" x14ac:dyDescent="0.35">
      <c r="B21" s="2">
        <v>17</v>
      </c>
      <c r="D21" s="24">
        <f>Dashboard!S8</f>
        <v>0</v>
      </c>
    </row>
    <row r="22" spans="1:6" x14ac:dyDescent="0.35">
      <c r="B22" s="2">
        <v>18</v>
      </c>
      <c r="D22" s="24">
        <f>Dashboard!T8</f>
        <v>1</v>
      </c>
    </row>
    <row r="23" spans="1:6" x14ac:dyDescent="0.35">
      <c r="B23" s="2">
        <v>19</v>
      </c>
      <c r="D23" s="24">
        <f>Dashboard!U8</f>
        <v>0</v>
      </c>
    </row>
    <row r="24" spans="1:6" x14ac:dyDescent="0.35">
      <c r="B24" s="2">
        <v>20</v>
      </c>
      <c r="D24" s="24">
        <f>Dashboard!V8</f>
        <v>0</v>
      </c>
    </row>
    <row r="25" spans="1:6" x14ac:dyDescent="0.35">
      <c r="B25" s="2">
        <v>21</v>
      </c>
      <c r="D25" s="24">
        <f>Dashboard!W8</f>
        <v>0</v>
      </c>
    </row>
    <row r="26" spans="1:6" x14ac:dyDescent="0.35">
      <c r="B26" s="2">
        <v>22</v>
      </c>
      <c r="D26" s="24">
        <f>Dashboard!X8</f>
        <v>0</v>
      </c>
    </row>
    <row r="27" spans="1:6" x14ac:dyDescent="0.35">
      <c r="B27" s="2">
        <v>23</v>
      </c>
      <c r="D27" s="24">
        <f>Dashboard!Y8</f>
        <v>0</v>
      </c>
    </row>
    <row r="28" spans="1:6" x14ac:dyDescent="0.35">
      <c r="B28" s="2">
        <v>24</v>
      </c>
      <c r="D28" s="24">
        <f>Dashboard!Z8</f>
        <v>1</v>
      </c>
    </row>
    <row r="29" spans="1:6" x14ac:dyDescent="0.35">
      <c r="B29" s="2">
        <v>25</v>
      </c>
      <c r="D29" s="24">
        <f>Dashboard!AA8</f>
        <v>0</v>
      </c>
    </row>
    <row r="30" spans="1:6" x14ac:dyDescent="0.35">
      <c r="B30" s="2">
        <v>26</v>
      </c>
      <c r="D30" s="24">
        <f>Dashboard!AB8</f>
        <v>0</v>
      </c>
    </row>
    <row r="31" spans="1:6" x14ac:dyDescent="0.35">
      <c r="B31" s="2">
        <v>27</v>
      </c>
      <c r="D31" s="24">
        <f>Dashboard!AC8</f>
        <v>0</v>
      </c>
    </row>
    <row r="32" spans="1:6" x14ac:dyDescent="0.35">
      <c r="B32" s="2">
        <v>28</v>
      </c>
      <c r="D32" s="24">
        <f>Dashboard!AD8</f>
        <v>0</v>
      </c>
    </row>
    <row r="33" spans="1:6" x14ac:dyDescent="0.35">
      <c r="B33" s="2">
        <v>29</v>
      </c>
      <c r="D33" s="24">
        <f>Dashboard!AE8</f>
        <v>0</v>
      </c>
    </row>
    <row r="34" spans="1:6" x14ac:dyDescent="0.35">
      <c r="B34" s="2">
        <v>30</v>
      </c>
      <c r="D34" s="24">
        <f>Dashboard!AF8</f>
        <v>0</v>
      </c>
    </row>
    <row r="35" spans="1:6" ht="15" thickBot="1" x14ac:dyDescent="0.4">
      <c r="D35" s="27">
        <f>D106+R118</f>
        <v>1</v>
      </c>
      <c r="E35" s="2">
        <f>SUM(D20:D35)</f>
        <v>3</v>
      </c>
      <c r="F35" s="2">
        <f>E35</f>
        <v>3</v>
      </c>
    </row>
    <row r="36" spans="1:6" ht="15" thickBot="1" x14ac:dyDescent="0.4">
      <c r="A36" s="1" t="s">
        <v>4</v>
      </c>
      <c r="B36" s="2">
        <v>31</v>
      </c>
      <c r="D36" s="15">
        <f>Dashboard!AG8</f>
        <v>0</v>
      </c>
    </row>
    <row r="37" spans="1:6" ht="15" thickBot="1" x14ac:dyDescent="0.4">
      <c r="B37" s="2">
        <v>32</v>
      </c>
      <c r="D37" s="15">
        <f>Dashboard!AH8</f>
        <v>0</v>
      </c>
    </row>
    <row r="38" spans="1:6" ht="15" thickBot="1" x14ac:dyDescent="0.4">
      <c r="B38" s="2">
        <v>33</v>
      </c>
      <c r="D38" s="15">
        <f>Dashboard!AI8</f>
        <v>0</v>
      </c>
    </row>
    <row r="39" spans="1:6" ht="15" thickBot="1" x14ac:dyDescent="0.4">
      <c r="B39" s="2">
        <v>34</v>
      </c>
      <c r="D39" s="15">
        <f>Dashboard!AJ8</f>
        <v>0</v>
      </c>
    </row>
    <row r="40" spans="1:6" ht="15" thickBot="1" x14ac:dyDescent="0.4">
      <c r="B40" s="2">
        <v>35</v>
      </c>
      <c r="D40" s="15">
        <f>Dashboard!AK8</f>
        <v>1</v>
      </c>
    </row>
    <row r="41" spans="1:6" ht="15" thickBot="1" x14ac:dyDescent="0.4">
      <c r="B41" s="2">
        <v>36</v>
      </c>
      <c r="D41" s="15">
        <f>Dashboard!AL8</f>
        <v>0</v>
      </c>
    </row>
    <row r="42" spans="1:6" ht="15" thickBot="1" x14ac:dyDescent="0.4">
      <c r="B42" s="2">
        <v>37</v>
      </c>
      <c r="D42" s="15">
        <f>Dashboard!AM8</f>
        <v>0</v>
      </c>
    </row>
    <row r="43" spans="1:6" ht="15" thickBot="1" x14ac:dyDescent="0.4">
      <c r="B43" s="2">
        <v>38</v>
      </c>
      <c r="D43" s="15">
        <f>Dashboard!AN8</f>
        <v>0</v>
      </c>
    </row>
    <row r="44" spans="1:6" ht="15" thickBot="1" x14ac:dyDescent="0.4">
      <c r="B44" s="2">
        <v>39</v>
      </c>
      <c r="D44" s="15">
        <f>Dashboard!AO8</f>
        <v>1</v>
      </c>
    </row>
    <row r="45" spans="1:6" ht="15" thickBot="1" x14ac:dyDescent="0.4">
      <c r="B45" s="2">
        <v>40</v>
      </c>
      <c r="D45" s="15">
        <f>Dashboard!AP8</f>
        <v>0</v>
      </c>
    </row>
    <row r="46" spans="1:6" ht="15" thickBot="1" x14ac:dyDescent="0.4">
      <c r="B46" s="2">
        <v>41</v>
      </c>
      <c r="D46" s="15">
        <f>Dashboard!AQ8</f>
        <v>0</v>
      </c>
    </row>
    <row r="47" spans="1:6" ht="15" thickBot="1" x14ac:dyDescent="0.4">
      <c r="B47" s="2">
        <v>42</v>
      </c>
      <c r="D47" s="15">
        <f>Dashboard!AR8</f>
        <v>1</v>
      </c>
    </row>
    <row r="48" spans="1:6" ht="15" thickBot="1" x14ac:dyDescent="0.4">
      <c r="B48" s="2">
        <v>43</v>
      </c>
      <c r="D48" s="15">
        <f>Dashboard!AS8</f>
        <v>1</v>
      </c>
    </row>
    <row r="49" spans="1:6" ht="15" thickBot="1" x14ac:dyDescent="0.4">
      <c r="B49" s="2">
        <v>44</v>
      </c>
      <c r="D49" s="15">
        <f>Dashboard!AT8</f>
        <v>0</v>
      </c>
    </row>
    <row r="50" spans="1:6" x14ac:dyDescent="0.35">
      <c r="B50" s="2">
        <v>45</v>
      </c>
      <c r="D50" s="15">
        <f>Dashboard!AU8</f>
        <v>0</v>
      </c>
    </row>
    <row r="51" spans="1:6" ht="15" thickBot="1" x14ac:dyDescent="0.4">
      <c r="D51" s="27">
        <f>D109+R119</f>
        <v>2</v>
      </c>
      <c r="E51" s="2">
        <f>SUM(D36:D51)</f>
        <v>6</v>
      </c>
      <c r="F51" s="2">
        <f>E51</f>
        <v>6</v>
      </c>
    </row>
    <row r="52" spans="1:6" x14ac:dyDescent="0.35">
      <c r="A52" s="1" t="s">
        <v>5</v>
      </c>
      <c r="B52" s="2">
        <v>46</v>
      </c>
      <c r="D52" s="24">
        <f>Dashboard!AV8</f>
        <v>1</v>
      </c>
    </row>
    <row r="53" spans="1:6" x14ac:dyDescent="0.35">
      <c r="B53" s="2">
        <v>47</v>
      </c>
      <c r="D53" s="24">
        <f>Dashboard!AW8</f>
        <v>0</v>
      </c>
    </row>
    <row r="54" spans="1:6" x14ac:dyDescent="0.35">
      <c r="B54" s="2">
        <v>48</v>
      </c>
      <c r="D54" s="24">
        <f>Dashboard!AX8</f>
        <v>0</v>
      </c>
    </row>
    <row r="55" spans="1:6" x14ac:dyDescent="0.35">
      <c r="B55" s="2">
        <v>49</v>
      </c>
      <c r="D55" s="24">
        <f>Dashboard!AY8</f>
        <v>1</v>
      </c>
    </row>
    <row r="56" spans="1:6" x14ac:dyDescent="0.35">
      <c r="B56" s="2">
        <v>50</v>
      </c>
      <c r="D56" s="24">
        <f>Dashboard!AZ8</f>
        <v>1</v>
      </c>
    </row>
    <row r="57" spans="1:6" x14ac:dyDescent="0.35">
      <c r="B57" s="2">
        <v>51</v>
      </c>
      <c r="D57" s="24">
        <f>Dashboard!BA8</f>
        <v>0</v>
      </c>
    </row>
    <row r="58" spans="1:6" x14ac:dyDescent="0.35">
      <c r="B58" s="2">
        <v>52</v>
      </c>
      <c r="D58" s="24">
        <f>Dashboard!BB8</f>
        <v>0</v>
      </c>
    </row>
    <row r="59" spans="1:6" x14ac:dyDescent="0.35">
      <c r="B59" s="2">
        <v>53</v>
      </c>
      <c r="D59" s="24">
        <f>Dashboard!BC8</f>
        <v>0</v>
      </c>
    </row>
    <row r="60" spans="1:6" x14ac:dyDescent="0.35">
      <c r="B60" s="2">
        <v>54</v>
      </c>
      <c r="D60" s="24">
        <f>Dashboard!BD8</f>
        <v>0</v>
      </c>
    </row>
    <row r="61" spans="1:6" x14ac:dyDescent="0.35">
      <c r="B61" s="2">
        <v>55</v>
      </c>
      <c r="D61" s="24">
        <f>Dashboard!BE8</f>
        <v>1</v>
      </c>
    </row>
    <row r="62" spans="1:6" x14ac:dyDescent="0.35">
      <c r="B62" s="2">
        <v>56</v>
      </c>
      <c r="D62" s="24">
        <f>Dashboard!BF8</f>
        <v>0</v>
      </c>
    </row>
    <row r="63" spans="1:6" x14ac:dyDescent="0.35">
      <c r="B63" s="2">
        <v>57</v>
      </c>
      <c r="D63" s="24">
        <f>Dashboard!BG8</f>
        <v>0</v>
      </c>
    </row>
    <row r="64" spans="1:6" x14ac:dyDescent="0.35">
      <c r="B64" s="2">
        <v>58</v>
      </c>
      <c r="D64" s="24">
        <f>Dashboard!BH8</f>
        <v>0</v>
      </c>
    </row>
    <row r="65" spans="1:6" x14ac:dyDescent="0.35">
      <c r="B65" s="2">
        <v>59</v>
      </c>
      <c r="D65" s="24">
        <f>Dashboard!BI8</f>
        <v>1</v>
      </c>
    </row>
    <row r="66" spans="1:6" x14ac:dyDescent="0.35">
      <c r="B66" s="2">
        <v>60</v>
      </c>
      <c r="D66" s="24">
        <f>Dashboard!BJ8</f>
        <v>1</v>
      </c>
    </row>
    <row r="67" spans="1:6" ht="15" thickBot="1" x14ac:dyDescent="0.4">
      <c r="D67" s="27">
        <f>D107+R120</f>
        <v>0</v>
      </c>
      <c r="E67" s="2">
        <f>SUM(D52:D67)</f>
        <v>6</v>
      </c>
      <c r="F67" s="2">
        <f>E67</f>
        <v>6</v>
      </c>
    </row>
    <row r="68" spans="1:6" ht="15" thickBot="1" x14ac:dyDescent="0.4">
      <c r="A68" s="1" t="s">
        <v>6</v>
      </c>
      <c r="B68" s="2">
        <v>61</v>
      </c>
      <c r="D68" s="15">
        <f>Dashboard!BK8</f>
        <v>1</v>
      </c>
    </row>
    <row r="69" spans="1:6" ht="15" thickBot="1" x14ac:dyDescent="0.4">
      <c r="B69" s="2">
        <v>62</v>
      </c>
      <c r="D69" s="15">
        <f>Dashboard!BL8</f>
        <v>0</v>
      </c>
    </row>
    <row r="70" spans="1:6" ht="15" thickBot="1" x14ac:dyDescent="0.4">
      <c r="B70" s="2">
        <v>63</v>
      </c>
      <c r="D70" s="15">
        <f>Dashboard!BM8</f>
        <v>1</v>
      </c>
    </row>
    <row r="71" spans="1:6" ht="15" thickBot="1" x14ac:dyDescent="0.4">
      <c r="B71" s="2">
        <v>64</v>
      </c>
      <c r="D71" s="15">
        <f>Dashboard!BN8</f>
        <v>1</v>
      </c>
    </row>
    <row r="72" spans="1:6" ht="15" thickBot="1" x14ac:dyDescent="0.4">
      <c r="B72" s="2">
        <v>65</v>
      </c>
      <c r="D72" s="15">
        <f>Dashboard!BO8</f>
        <v>0</v>
      </c>
    </row>
    <row r="73" spans="1:6" ht="15" thickBot="1" x14ac:dyDescent="0.4">
      <c r="B73" s="2">
        <v>66</v>
      </c>
      <c r="D73" s="15">
        <f>Dashboard!BP8</f>
        <v>1</v>
      </c>
    </row>
    <row r="74" spans="1:6" ht="15" thickBot="1" x14ac:dyDescent="0.4">
      <c r="B74" s="2">
        <v>67</v>
      </c>
      <c r="D74" s="15">
        <f>Dashboard!BQ8</f>
        <v>0</v>
      </c>
    </row>
    <row r="75" spans="1:6" ht="15" thickBot="1" x14ac:dyDescent="0.4">
      <c r="B75" s="2">
        <v>68</v>
      </c>
      <c r="D75" s="15">
        <f>Dashboard!BR8</f>
        <v>0</v>
      </c>
    </row>
    <row r="76" spans="1:6" ht="15" thickBot="1" x14ac:dyDescent="0.4">
      <c r="B76" s="2">
        <v>69</v>
      </c>
      <c r="D76" s="15">
        <f>Dashboard!BS8</f>
        <v>1</v>
      </c>
    </row>
    <row r="77" spans="1:6" ht="15" thickBot="1" x14ac:dyDescent="0.4">
      <c r="B77" s="2">
        <v>70</v>
      </c>
      <c r="D77" s="15">
        <f>Dashboard!BT8</f>
        <v>1</v>
      </c>
    </row>
    <row r="78" spans="1:6" ht="15" thickBot="1" x14ac:dyDescent="0.4">
      <c r="B78" s="2">
        <v>71</v>
      </c>
      <c r="D78" s="15">
        <f>Dashboard!BU8</f>
        <v>0</v>
      </c>
    </row>
    <row r="79" spans="1:6" ht="15" thickBot="1" x14ac:dyDescent="0.4">
      <c r="B79" s="2">
        <v>72</v>
      </c>
      <c r="D79" s="15">
        <f>Dashboard!BV8</f>
        <v>0</v>
      </c>
    </row>
    <row r="80" spans="1:6" ht="15" thickBot="1" x14ac:dyDescent="0.4">
      <c r="B80" s="2">
        <v>73</v>
      </c>
      <c r="D80" s="15">
        <f>Dashboard!BW8</f>
        <v>1</v>
      </c>
    </row>
    <row r="81" spans="1:6" ht="15" thickBot="1" x14ac:dyDescent="0.4">
      <c r="B81" s="2">
        <v>74</v>
      </c>
      <c r="D81" s="15">
        <f>Dashboard!BX8</f>
        <v>0</v>
      </c>
    </row>
    <row r="82" spans="1:6" x14ac:dyDescent="0.35">
      <c r="B82" s="2">
        <v>75</v>
      </c>
      <c r="D82" s="15">
        <f>Dashboard!BY8</f>
        <v>0</v>
      </c>
    </row>
    <row r="83" spans="1:6" ht="15" thickBot="1" x14ac:dyDescent="0.4">
      <c r="D83" s="27">
        <f>D108+R121</f>
        <v>1</v>
      </c>
      <c r="E83" s="2">
        <f>SUM(D68:D83)</f>
        <v>8</v>
      </c>
      <c r="F83" s="2">
        <f>E83</f>
        <v>8</v>
      </c>
    </row>
    <row r="84" spans="1:6" x14ac:dyDescent="0.35">
      <c r="A84" s="1" t="s">
        <v>7</v>
      </c>
      <c r="B84" s="2">
        <v>76</v>
      </c>
      <c r="D84" s="24">
        <f>Dashboard!BZ8</f>
        <v>0</v>
      </c>
    </row>
    <row r="85" spans="1:6" x14ac:dyDescent="0.35">
      <c r="B85" s="2">
        <v>77</v>
      </c>
      <c r="D85" s="24">
        <f>Dashboard!CA8</f>
        <v>1</v>
      </c>
    </row>
    <row r="86" spans="1:6" x14ac:dyDescent="0.35">
      <c r="B86" s="2">
        <v>78</v>
      </c>
      <c r="D86" s="24">
        <f>Dashboard!CB8</f>
        <v>1</v>
      </c>
    </row>
    <row r="87" spans="1:6" x14ac:dyDescent="0.35">
      <c r="B87" s="2">
        <v>79</v>
      </c>
      <c r="D87" s="24">
        <f>Dashboard!CC8</f>
        <v>1</v>
      </c>
    </row>
    <row r="88" spans="1:6" x14ac:dyDescent="0.35">
      <c r="B88" s="2">
        <v>80</v>
      </c>
      <c r="D88" s="24">
        <f>Dashboard!CD8</f>
        <v>1</v>
      </c>
    </row>
    <row r="89" spans="1:6" x14ac:dyDescent="0.35">
      <c r="B89" s="2">
        <v>81</v>
      </c>
      <c r="D89" s="24">
        <f>Dashboard!CE8</f>
        <v>1</v>
      </c>
    </row>
    <row r="90" spans="1:6" x14ac:dyDescent="0.35">
      <c r="B90" s="2">
        <v>82</v>
      </c>
      <c r="D90" s="24">
        <f>Dashboard!CF8</f>
        <v>1</v>
      </c>
    </row>
    <row r="91" spans="1:6" x14ac:dyDescent="0.35">
      <c r="B91" s="2">
        <v>83</v>
      </c>
      <c r="D91" s="24">
        <f>Dashboard!CG8</f>
        <v>1</v>
      </c>
    </row>
    <row r="92" spans="1:6" x14ac:dyDescent="0.35">
      <c r="B92" s="2">
        <v>84</v>
      </c>
      <c r="D92" s="24">
        <f>Dashboard!CH8</f>
        <v>1</v>
      </c>
    </row>
    <row r="93" spans="1:6" x14ac:dyDescent="0.35">
      <c r="B93" s="2">
        <v>85</v>
      </c>
      <c r="D93" s="24">
        <f>Dashboard!CI8</f>
        <v>0</v>
      </c>
    </row>
    <row r="94" spans="1:6" x14ac:dyDescent="0.35">
      <c r="B94" s="2">
        <v>86</v>
      </c>
      <c r="D94" s="24">
        <f>Dashboard!CJ8</f>
        <v>0</v>
      </c>
    </row>
    <row r="95" spans="1:6" x14ac:dyDescent="0.35">
      <c r="B95" s="2">
        <v>87</v>
      </c>
      <c r="D95" s="24">
        <f>Dashboard!CK8</f>
        <v>0</v>
      </c>
    </row>
    <row r="96" spans="1:6" x14ac:dyDescent="0.35">
      <c r="B96" s="2">
        <v>88</v>
      </c>
      <c r="D96" s="24">
        <f>Dashboard!CL8</f>
        <v>0</v>
      </c>
    </row>
    <row r="97" spans="1:6" x14ac:dyDescent="0.35">
      <c r="B97" s="2">
        <v>89</v>
      </c>
      <c r="D97" s="24">
        <f>Dashboard!CM8</f>
        <v>0</v>
      </c>
    </row>
    <row r="98" spans="1:6" x14ac:dyDescent="0.35">
      <c r="B98" s="2">
        <v>90</v>
      </c>
      <c r="D98" s="24">
        <f>Dashboard!CN8</f>
        <v>1</v>
      </c>
    </row>
    <row r="99" spans="1:6" ht="15" thickBot="1" x14ac:dyDescent="0.4">
      <c r="D99" s="27">
        <f>D110+R122</f>
        <v>1</v>
      </c>
      <c r="E99" s="2">
        <f>SUM(D84:D99)</f>
        <v>10</v>
      </c>
      <c r="F99" s="2">
        <f>E99</f>
        <v>10</v>
      </c>
    </row>
    <row r="104" spans="1:6" x14ac:dyDescent="0.35">
      <c r="A104" s="2" t="s">
        <v>45</v>
      </c>
    </row>
    <row r="105" spans="1:6" x14ac:dyDescent="0.35">
      <c r="A105" s="2" t="s">
        <v>2</v>
      </c>
      <c r="B105" s="2">
        <v>1</v>
      </c>
      <c r="D105" s="25">
        <f>Dashboard!CO8</f>
        <v>2</v>
      </c>
    </row>
    <row r="106" spans="1:6" x14ac:dyDescent="0.35">
      <c r="A106" s="2" t="s">
        <v>3</v>
      </c>
      <c r="B106" s="2">
        <v>2</v>
      </c>
      <c r="D106" s="25">
        <f>Dashboard!CP8</f>
        <v>1</v>
      </c>
    </row>
    <row r="107" spans="1:6" x14ac:dyDescent="0.35">
      <c r="A107" s="2" t="s">
        <v>5</v>
      </c>
      <c r="B107" s="2">
        <v>3</v>
      </c>
      <c r="D107" s="25">
        <f>Dashboard!CQ8</f>
        <v>0</v>
      </c>
    </row>
    <row r="108" spans="1:6" x14ac:dyDescent="0.35">
      <c r="A108" s="2" t="s">
        <v>67</v>
      </c>
      <c r="B108" s="2">
        <v>4</v>
      </c>
      <c r="D108" s="25">
        <f>Dashboard!CR8</f>
        <v>1</v>
      </c>
    </row>
    <row r="109" spans="1:6" x14ac:dyDescent="0.35">
      <c r="A109" s="2" t="s">
        <v>4</v>
      </c>
      <c r="B109" s="2">
        <v>5</v>
      </c>
      <c r="D109" s="25">
        <f>Dashboard!CS8</f>
        <v>2</v>
      </c>
    </row>
    <row r="110" spans="1:6" x14ac:dyDescent="0.35">
      <c r="A110" s="2" t="s">
        <v>7</v>
      </c>
      <c r="B110" s="2">
        <v>6</v>
      </c>
      <c r="D110" s="25">
        <f>Dashboard!CT8</f>
        <v>1</v>
      </c>
    </row>
    <row r="114" spans="1:21" x14ac:dyDescent="0.35">
      <c r="A114" s="9" t="s">
        <v>70</v>
      </c>
    </row>
    <row r="115" spans="1:21" ht="15" thickBot="1" x14ac:dyDescent="0.4"/>
    <row r="116" spans="1:21" x14ac:dyDescent="0.35">
      <c r="A116" s="34" t="s">
        <v>71</v>
      </c>
      <c r="B116" s="35"/>
      <c r="C116" s="36"/>
      <c r="E116" s="34" t="s">
        <v>78</v>
      </c>
      <c r="F116" s="35"/>
      <c r="G116" s="36"/>
      <c r="I116" s="34" t="s">
        <v>79</v>
      </c>
      <c r="J116" s="35"/>
      <c r="K116" s="36"/>
      <c r="M116" s="34" t="s">
        <v>80</v>
      </c>
      <c r="N116" s="35"/>
      <c r="O116" s="36"/>
      <c r="Q116" s="34" t="s">
        <v>81</v>
      </c>
      <c r="R116" s="36"/>
      <c r="U116" s="9"/>
    </row>
    <row r="117" spans="1:21" x14ac:dyDescent="0.35">
      <c r="A117" s="37" t="s">
        <v>82</v>
      </c>
      <c r="B117" s="2" t="s">
        <v>72</v>
      </c>
      <c r="C117" s="25"/>
      <c r="E117" s="37" t="s">
        <v>82</v>
      </c>
      <c r="F117" s="2" t="s">
        <v>72</v>
      </c>
      <c r="G117" s="25"/>
      <c r="I117" s="37"/>
      <c r="J117" s="2" t="s">
        <v>72</v>
      </c>
      <c r="K117" s="32">
        <v>0</v>
      </c>
      <c r="M117" s="37" t="s">
        <v>82</v>
      </c>
      <c r="N117" s="2" t="s">
        <v>72</v>
      </c>
      <c r="O117" s="33"/>
      <c r="Q117" s="37" t="s">
        <v>72</v>
      </c>
      <c r="R117" s="33">
        <f>O117+K117+G117+C117</f>
        <v>0</v>
      </c>
      <c r="S117" s="2" t="s">
        <v>2</v>
      </c>
    </row>
    <row r="118" spans="1:21" x14ac:dyDescent="0.35">
      <c r="A118" s="37"/>
      <c r="B118" s="2" t="s">
        <v>73</v>
      </c>
      <c r="C118" s="25"/>
      <c r="E118" s="37"/>
      <c r="F118" s="2" t="s">
        <v>73</v>
      </c>
      <c r="G118" s="25"/>
      <c r="I118" s="37"/>
      <c r="J118" s="2" t="s">
        <v>73</v>
      </c>
      <c r="K118" s="32">
        <v>0</v>
      </c>
      <c r="M118" s="37"/>
      <c r="N118" s="2" t="s">
        <v>73</v>
      </c>
      <c r="O118" s="33"/>
      <c r="Q118" s="37" t="s">
        <v>73</v>
      </c>
      <c r="R118" s="33">
        <f t="shared" ref="R118:R122" si="0">O118+K118+G118+C118</f>
        <v>0</v>
      </c>
      <c r="S118" s="2" t="s">
        <v>3</v>
      </c>
    </row>
    <row r="119" spans="1:21" x14ac:dyDescent="0.35">
      <c r="A119" s="37"/>
      <c r="B119" s="2" t="s">
        <v>74</v>
      </c>
      <c r="C119" s="25"/>
      <c r="E119" s="37"/>
      <c r="F119" s="2" t="s">
        <v>74</v>
      </c>
      <c r="G119" s="25"/>
      <c r="I119" s="37"/>
      <c r="J119" s="2" t="s">
        <v>74</v>
      </c>
      <c r="K119" s="32">
        <v>0</v>
      </c>
      <c r="M119" s="37"/>
      <c r="N119" s="2" t="s">
        <v>74</v>
      </c>
      <c r="O119" s="33"/>
      <c r="Q119" s="37" t="s">
        <v>74</v>
      </c>
      <c r="R119" s="33">
        <f t="shared" si="0"/>
        <v>0</v>
      </c>
      <c r="S119" s="2" t="s">
        <v>4</v>
      </c>
    </row>
    <row r="120" spans="1:21" x14ac:dyDescent="0.35">
      <c r="A120" s="37"/>
      <c r="B120" s="2" t="s">
        <v>75</v>
      </c>
      <c r="C120" s="25"/>
      <c r="E120" s="37"/>
      <c r="F120" s="2" t="s">
        <v>75</v>
      </c>
      <c r="G120" s="25"/>
      <c r="I120" s="37"/>
      <c r="J120" s="2" t="s">
        <v>75</v>
      </c>
      <c r="K120" s="32">
        <v>0</v>
      </c>
      <c r="M120" s="37"/>
      <c r="N120" s="2" t="s">
        <v>75</v>
      </c>
      <c r="O120" s="33"/>
      <c r="Q120" s="37" t="s">
        <v>75</v>
      </c>
      <c r="R120" s="33">
        <f t="shared" si="0"/>
        <v>0</v>
      </c>
      <c r="S120" s="2" t="s">
        <v>5</v>
      </c>
    </row>
    <row r="121" spans="1:21" x14ac:dyDescent="0.35">
      <c r="A121" s="37"/>
      <c r="B121" s="2" t="s">
        <v>76</v>
      </c>
      <c r="C121" s="25"/>
      <c r="E121" s="37"/>
      <c r="F121" s="2" t="s">
        <v>76</v>
      </c>
      <c r="G121" s="25"/>
      <c r="I121" s="37"/>
      <c r="J121" s="2" t="s">
        <v>76</v>
      </c>
      <c r="K121" s="32">
        <v>0</v>
      </c>
      <c r="M121" s="37"/>
      <c r="N121" s="2" t="s">
        <v>76</v>
      </c>
      <c r="O121" s="33"/>
      <c r="Q121" s="37" t="s">
        <v>76</v>
      </c>
      <c r="R121" s="33">
        <f t="shared" si="0"/>
        <v>0</v>
      </c>
      <c r="S121" s="2" t="s">
        <v>6</v>
      </c>
    </row>
    <row r="122" spans="1:21" ht="15" thickBot="1" x14ac:dyDescent="0.4">
      <c r="A122" s="38"/>
      <c r="B122" s="39" t="s">
        <v>77</v>
      </c>
      <c r="C122" s="26"/>
      <c r="E122" s="38"/>
      <c r="F122" s="39" t="s">
        <v>77</v>
      </c>
      <c r="G122" s="26"/>
      <c r="I122" s="38"/>
      <c r="J122" s="39" t="s">
        <v>77</v>
      </c>
      <c r="K122" s="27">
        <v>0</v>
      </c>
      <c r="M122" s="38"/>
      <c r="N122" s="39" t="s">
        <v>77</v>
      </c>
      <c r="O122" s="40"/>
      <c r="Q122" s="38" t="s">
        <v>77</v>
      </c>
      <c r="R122" s="40">
        <f t="shared" si="0"/>
        <v>0</v>
      </c>
      <c r="S122" s="2" t="s">
        <v>7</v>
      </c>
    </row>
    <row r="130" spans="2:6" x14ac:dyDescent="0.35">
      <c r="B130" s="45">
        <f>E19</f>
        <v>9</v>
      </c>
      <c r="C130" s="45" t="s">
        <v>2</v>
      </c>
      <c r="E130" s="48">
        <f>MAX(B130:B135)</f>
        <v>10</v>
      </c>
      <c r="F130" s="48" t="str">
        <f>VLOOKUP(E130,B130:C135,2,FALSE)</f>
        <v>C</v>
      </c>
    </row>
    <row r="131" spans="2:6" x14ac:dyDescent="0.35">
      <c r="B131" s="45">
        <f>E67</f>
        <v>6</v>
      </c>
      <c r="C131" s="45" t="s">
        <v>5</v>
      </c>
    </row>
    <row r="132" spans="2:6" x14ac:dyDescent="0.35">
      <c r="B132" s="45">
        <f>E35</f>
        <v>3</v>
      </c>
      <c r="C132" s="45" t="s">
        <v>3</v>
      </c>
    </row>
    <row r="133" spans="2:6" x14ac:dyDescent="0.35">
      <c r="B133" s="45">
        <f>E83</f>
        <v>8</v>
      </c>
      <c r="C133" s="45" t="s">
        <v>6</v>
      </c>
    </row>
    <row r="134" spans="2:6" x14ac:dyDescent="0.35">
      <c r="B134" s="45">
        <f>E51</f>
        <v>6</v>
      </c>
      <c r="C134" s="45" t="s">
        <v>4</v>
      </c>
    </row>
    <row r="135" spans="2:6" x14ac:dyDescent="0.35">
      <c r="B135" s="45">
        <f>E99</f>
        <v>10</v>
      </c>
      <c r="C135" s="45" t="s">
        <v>7</v>
      </c>
    </row>
  </sheetData>
  <dataValidations count="3">
    <dataValidation type="whole" allowBlank="1" showInputMessage="1" showErrorMessage="1" sqref="O117:O122 D68:D82 D4:D18 D20:D34 D36:D50 D52:D66 C117:C122 G117:G122 K117:K122 D84:D98" xr:uid="{00000000-0002-0000-0000-000000000000}">
      <formula1>0</formula1>
      <formula2>1</formula2>
    </dataValidation>
    <dataValidation type="whole" allowBlank="1" showInputMessage="1" showErrorMessage="1" sqref="D99 D51 D19 D35 D67 D83" xr:uid="{00000000-0002-0000-0000-000001000000}">
      <formula1>0</formula1>
      <formula2>11</formula2>
    </dataValidation>
    <dataValidation type="whole" allowBlank="1" showInputMessage="1" showErrorMessage="1" sqref="R117:R122" xr:uid="{00000000-0002-0000-0000-000002000000}">
      <formula1>0</formula1>
      <formula2>4</formula2>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1"/>
  <sheetViews>
    <sheetView topLeftCell="A28" zoomScale="85" zoomScaleNormal="85" workbookViewId="0">
      <selection activeCell="C9" sqref="C9"/>
    </sheetView>
  </sheetViews>
  <sheetFormatPr defaultColWidth="9.1796875" defaultRowHeight="14.5" x14ac:dyDescent="0.35"/>
  <cols>
    <col min="1" max="2" width="9.1796875" style="2"/>
    <col min="3" max="3" width="14" style="2" customWidth="1"/>
    <col min="4" max="4" width="14.453125" style="2" customWidth="1"/>
    <col min="5" max="5" width="9.1796875" style="2"/>
    <col min="6" max="6" width="11" style="2" customWidth="1"/>
    <col min="7" max="16384" width="9.1796875" style="2"/>
  </cols>
  <sheetData>
    <row r="1" spans="1:9" x14ac:dyDescent="0.35">
      <c r="A1" s="2" t="s">
        <v>114</v>
      </c>
      <c r="H1" s="2" t="s">
        <v>68</v>
      </c>
    </row>
    <row r="2" spans="1:9" x14ac:dyDescent="0.35">
      <c r="C2" s="45" t="s">
        <v>13</v>
      </c>
      <c r="D2" s="45" t="s">
        <v>14</v>
      </c>
    </row>
    <row r="3" spans="1:9" x14ac:dyDescent="0.35">
      <c r="B3" s="28"/>
      <c r="C3" s="54" t="s">
        <v>4</v>
      </c>
      <c r="D3" s="54" t="s">
        <v>5</v>
      </c>
      <c r="G3" s="45">
        <f>C20</f>
        <v>10</v>
      </c>
      <c r="H3" s="45" t="s">
        <v>4</v>
      </c>
      <c r="I3" s="45">
        <f>C20</f>
        <v>10</v>
      </c>
    </row>
    <row r="4" spans="1:9" x14ac:dyDescent="0.35">
      <c r="B4" s="16">
        <v>1</v>
      </c>
      <c r="C4" s="51">
        <f>IF(Dashboard!CU8=1,1,0)</f>
        <v>1</v>
      </c>
      <c r="D4" s="51">
        <f>IF(Dashboard!CU8=0,1,0)</f>
        <v>0</v>
      </c>
      <c r="G4" s="45">
        <f>D20</f>
        <v>21</v>
      </c>
      <c r="H4" s="45" t="s">
        <v>5</v>
      </c>
      <c r="I4" s="45">
        <f>D20</f>
        <v>21</v>
      </c>
    </row>
    <row r="5" spans="1:9" x14ac:dyDescent="0.35">
      <c r="B5" s="16">
        <v>2</v>
      </c>
      <c r="C5" s="51">
        <f>IF(Dashboard!CV8=1,1,0)</f>
        <v>0</v>
      </c>
      <c r="D5" s="51">
        <f>IF(Dashboard!CV8=0,1,0)</f>
        <v>1</v>
      </c>
      <c r="G5" s="45"/>
      <c r="H5" s="45"/>
      <c r="I5" s="45"/>
    </row>
    <row r="6" spans="1:9" x14ac:dyDescent="0.35">
      <c r="B6" s="16">
        <v>3</v>
      </c>
      <c r="C6" s="51">
        <f>IF(Dashboard!CW8=1,1,0)</f>
        <v>0</v>
      </c>
      <c r="D6" s="51">
        <f>IF(Dashboard!CW8=0,1,0)</f>
        <v>1</v>
      </c>
      <c r="G6" s="45"/>
      <c r="H6" s="45"/>
      <c r="I6" s="45"/>
    </row>
    <row r="7" spans="1:9" x14ac:dyDescent="0.35">
      <c r="B7" s="16">
        <v>4</v>
      </c>
      <c r="C7" s="51">
        <f>IF(Dashboard!CX8=1,1,0)</f>
        <v>1</v>
      </c>
      <c r="D7" s="51">
        <f>IF(Dashboard!CX8=0,1,0)</f>
        <v>0</v>
      </c>
      <c r="G7" s="45">
        <f>C40</f>
        <v>25</v>
      </c>
      <c r="H7" s="45" t="s">
        <v>6</v>
      </c>
      <c r="I7" s="45">
        <f>C40</f>
        <v>25</v>
      </c>
    </row>
    <row r="8" spans="1:9" x14ac:dyDescent="0.35">
      <c r="B8" s="16">
        <v>5</v>
      </c>
      <c r="C8" s="51">
        <f>IF(Dashboard!CY8=1,1,0)</f>
        <v>1</v>
      </c>
      <c r="D8" s="51">
        <f>IF(Dashboard!CY8=0,1,0)</f>
        <v>0</v>
      </c>
      <c r="G8" s="45">
        <f>D40</f>
        <v>8</v>
      </c>
      <c r="H8" s="45" t="s">
        <v>36</v>
      </c>
      <c r="I8" s="45">
        <f>D40</f>
        <v>8</v>
      </c>
    </row>
    <row r="9" spans="1:9" x14ac:dyDescent="0.35">
      <c r="B9" s="16">
        <v>6</v>
      </c>
      <c r="C9" s="51">
        <f>IF(Dashboard!CZ8=1,1,0)</f>
        <v>1</v>
      </c>
      <c r="D9" s="51">
        <f>IF(Dashboard!CZ8=0,1,0)</f>
        <v>0</v>
      </c>
      <c r="G9" s="45"/>
      <c r="H9" s="45"/>
      <c r="I9" s="45"/>
    </row>
    <row r="10" spans="1:9" x14ac:dyDescent="0.35">
      <c r="B10" s="16">
        <v>7</v>
      </c>
      <c r="C10" s="51">
        <f>IF(Dashboard!DA8=1,1,0)</f>
        <v>0</v>
      </c>
      <c r="D10" s="51">
        <f>IF(Dashboard!DA8=0,1,0)</f>
        <v>1</v>
      </c>
      <c r="G10" s="45"/>
      <c r="H10" s="45"/>
      <c r="I10" s="45"/>
    </row>
    <row r="11" spans="1:9" x14ac:dyDescent="0.35">
      <c r="B11" s="16">
        <v>8</v>
      </c>
      <c r="C11" s="51">
        <f>IF(Dashboard!DB8=1,1,0)</f>
        <v>0</v>
      </c>
      <c r="D11" s="51">
        <f>IF(Dashboard!DB8=0,1,0)</f>
        <v>1</v>
      </c>
      <c r="G11" s="45">
        <f>C62</f>
        <v>16</v>
      </c>
      <c r="H11" s="45" t="s">
        <v>9</v>
      </c>
      <c r="I11" s="45">
        <f>C62</f>
        <v>16</v>
      </c>
    </row>
    <row r="12" spans="1:9" x14ac:dyDescent="0.35">
      <c r="B12" s="16">
        <v>9</v>
      </c>
      <c r="C12" s="51">
        <f>IF(Dashboard!DC8=1,1,0)</f>
        <v>0</v>
      </c>
      <c r="D12" s="51">
        <f>IF(Dashboard!DC8=0,1,0)</f>
        <v>1</v>
      </c>
      <c r="G12" s="45">
        <f>D62</f>
        <v>19</v>
      </c>
      <c r="H12" s="45" t="s">
        <v>10</v>
      </c>
      <c r="I12" s="45">
        <f>D62</f>
        <v>19</v>
      </c>
    </row>
    <row r="13" spans="1:9" x14ac:dyDescent="0.35">
      <c r="B13" s="16">
        <v>10</v>
      </c>
      <c r="C13" s="51">
        <f>IF(Dashboard!DD8=1,1,0)</f>
        <v>0</v>
      </c>
      <c r="D13" s="51">
        <f>IF(Dashboard!DD8=0,1,0)</f>
        <v>1</v>
      </c>
      <c r="G13" s="45"/>
      <c r="H13" s="45"/>
      <c r="I13" s="45"/>
    </row>
    <row r="14" spans="1:9" x14ac:dyDescent="0.35">
      <c r="B14" s="16">
        <v>11</v>
      </c>
      <c r="C14" s="51">
        <f>IF(Dashboard!DE8=1,1,0)</f>
        <v>0</v>
      </c>
      <c r="D14" s="51">
        <f>IF(Dashboard!DE8=0,1,0)</f>
        <v>1</v>
      </c>
      <c r="G14" s="45"/>
      <c r="H14" s="45"/>
      <c r="I14" s="45"/>
    </row>
    <row r="15" spans="1:9" x14ac:dyDescent="0.35">
      <c r="B15" s="16">
        <v>12</v>
      </c>
      <c r="C15" s="51">
        <f>IF(Dashboard!DF8=1,1,0)</f>
        <v>0</v>
      </c>
      <c r="D15" s="51">
        <f>IF(Dashboard!DF8=0,1,0)</f>
        <v>1</v>
      </c>
      <c r="G15" s="45">
        <f>C82</f>
        <v>24</v>
      </c>
      <c r="H15" s="45" t="s">
        <v>15</v>
      </c>
      <c r="I15" s="45">
        <f>C82</f>
        <v>24</v>
      </c>
    </row>
    <row r="16" spans="1:9" x14ac:dyDescent="0.35">
      <c r="B16" s="16">
        <v>13</v>
      </c>
      <c r="C16" s="51">
        <f>IF(Dashboard!DG8=1,1,0)</f>
        <v>0</v>
      </c>
      <c r="D16" s="51">
        <f>IF(Dashboard!DG8=0,1,0)</f>
        <v>1</v>
      </c>
      <c r="G16" s="45">
        <f>D82</f>
        <v>9</v>
      </c>
      <c r="H16" s="45" t="s">
        <v>16</v>
      </c>
      <c r="I16" s="45">
        <f>D82</f>
        <v>9</v>
      </c>
    </row>
    <row r="17" spans="2:9" x14ac:dyDescent="0.35">
      <c r="B17" s="16">
        <v>14</v>
      </c>
      <c r="C17" s="51">
        <f>IF(Dashboard!DH8=1,1,0)</f>
        <v>0</v>
      </c>
      <c r="D17" s="51">
        <f>IF(Dashboard!DH8=0,1,0)</f>
        <v>1</v>
      </c>
    </row>
    <row r="18" spans="2:9" x14ac:dyDescent="0.35">
      <c r="B18" s="16">
        <v>15</v>
      </c>
      <c r="C18" s="51">
        <f>IF(Dashboard!DI8=1,1,0)</f>
        <v>0</v>
      </c>
      <c r="D18" s="51">
        <f>IF(Dashboard!DI8=0,1,0)</f>
        <v>1</v>
      </c>
    </row>
    <row r="19" spans="2:9" x14ac:dyDescent="0.35">
      <c r="B19" s="16"/>
      <c r="C19" s="52">
        <f>C102+C111</f>
        <v>6</v>
      </c>
      <c r="D19" s="52">
        <f>D102+D111</f>
        <v>10</v>
      </c>
    </row>
    <row r="20" spans="2:9" x14ac:dyDescent="0.35">
      <c r="B20" s="31"/>
      <c r="C20" s="53">
        <f>SUM(C4:C19)</f>
        <v>10</v>
      </c>
      <c r="D20" s="53">
        <f>SUM(D4:D19)</f>
        <v>21</v>
      </c>
    </row>
    <row r="21" spans="2:9" x14ac:dyDescent="0.35">
      <c r="B21" s="28"/>
      <c r="C21" s="54" t="s">
        <v>6</v>
      </c>
      <c r="D21" s="54" t="s">
        <v>36</v>
      </c>
      <c r="H21" s="48">
        <f>MAX(G3:G4)</f>
        <v>21</v>
      </c>
      <c r="I21" s="48" t="str">
        <f>VLOOKUP(H21,$G$3:$H$4,2,FALSE)</f>
        <v>I</v>
      </c>
    </row>
    <row r="22" spans="2:9" x14ac:dyDescent="0.35">
      <c r="B22" s="16">
        <v>16</v>
      </c>
      <c r="C22" s="51">
        <f>IF(Dashboard!DJ8=1,1,0)</f>
        <v>0</v>
      </c>
      <c r="D22" s="51">
        <f>IF(Dashboard!DJ8=0,1,0)</f>
        <v>1</v>
      </c>
      <c r="H22" s="48">
        <f>MAX(G7:G8)</f>
        <v>25</v>
      </c>
      <c r="I22" s="48" t="str">
        <f>VLOOKUP(H22,$G$7:$H$8,2,FALSE)</f>
        <v>S</v>
      </c>
    </row>
    <row r="23" spans="2:9" x14ac:dyDescent="0.35">
      <c r="B23" s="16">
        <v>17</v>
      </c>
      <c r="C23" s="51">
        <f>IF(Dashboard!DK8=1,1,0)</f>
        <v>1</v>
      </c>
      <c r="D23" s="51">
        <f>IF(Dashboard!DK8=0,1,0)</f>
        <v>0</v>
      </c>
      <c r="H23" s="48">
        <f>MAX(G11:G12)</f>
        <v>19</v>
      </c>
      <c r="I23" s="48" t="str">
        <f>VLOOKUP(H23,$G$11:$H$12,2,FALSE)</f>
        <v>F</v>
      </c>
    </row>
    <row r="24" spans="2:9" x14ac:dyDescent="0.35">
      <c r="B24" s="16">
        <v>18</v>
      </c>
      <c r="C24" s="51">
        <f>IF(Dashboard!DL8=1,1,0)</f>
        <v>1</v>
      </c>
      <c r="D24" s="51">
        <f>IF(Dashboard!DL8=0,1,0)</f>
        <v>0</v>
      </c>
      <c r="H24" s="48">
        <f>MAX(G15:G16)</f>
        <v>24</v>
      </c>
      <c r="I24" s="48" t="str">
        <f>VLOOKUP(H24,$G$15:$H$16,2,FALSE)</f>
        <v>J</v>
      </c>
    </row>
    <row r="25" spans="2:9" x14ac:dyDescent="0.35">
      <c r="B25" s="16">
        <v>19</v>
      </c>
      <c r="C25" s="51">
        <f>IF(Dashboard!DM8=1,1,0)</f>
        <v>0</v>
      </c>
      <c r="D25" s="51">
        <f>IF(Dashboard!DM8=0,1,0)</f>
        <v>1</v>
      </c>
      <c r="H25" s="48"/>
      <c r="I25" s="48"/>
    </row>
    <row r="26" spans="2:9" x14ac:dyDescent="0.35">
      <c r="B26" s="16">
        <v>20</v>
      </c>
      <c r="C26" s="51">
        <f>IF(Dashboard!DN8=1,1,0)</f>
        <v>1</v>
      </c>
      <c r="D26" s="51">
        <f>IF(Dashboard!DN8=0,1,0)</f>
        <v>0</v>
      </c>
      <c r="H26" s="48"/>
      <c r="I26" s="48" t="str">
        <f>CONCATENATE(I21,I22,I23,I24)</f>
        <v>ISFJ</v>
      </c>
    </row>
    <row r="27" spans="2:9" x14ac:dyDescent="0.35">
      <c r="B27" s="16">
        <v>21</v>
      </c>
      <c r="C27" s="51">
        <f>IF(Dashboard!DO8=1,1,0)</f>
        <v>1</v>
      </c>
      <c r="D27" s="51">
        <f>IF(Dashboard!DO8=0,1,0)</f>
        <v>0</v>
      </c>
    </row>
    <row r="28" spans="2:9" x14ac:dyDescent="0.35">
      <c r="B28" s="16">
        <v>22</v>
      </c>
      <c r="C28" s="51">
        <f>IF(Dashboard!DP8=1,1,0)</f>
        <v>1</v>
      </c>
      <c r="D28" s="51">
        <f>IF(Dashboard!DP8=0,1,0)</f>
        <v>0</v>
      </c>
    </row>
    <row r="29" spans="2:9" x14ac:dyDescent="0.35">
      <c r="B29" s="16">
        <v>23</v>
      </c>
      <c r="C29" s="51">
        <f>IF(Dashboard!DQ8=1,1,0)</f>
        <v>0</v>
      </c>
      <c r="D29" s="51">
        <f>IF(Dashboard!DQ8=0,1,0)</f>
        <v>1</v>
      </c>
    </row>
    <row r="30" spans="2:9" x14ac:dyDescent="0.35">
      <c r="B30" s="16">
        <v>24</v>
      </c>
      <c r="C30" s="51">
        <f>IF(Dashboard!DR8=1,1,0)</f>
        <v>0</v>
      </c>
      <c r="D30" s="51">
        <f>IF(Dashboard!DR8=0,1,0)</f>
        <v>1</v>
      </c>
    </row>
    <row r="31" spans="2:9" x14ac:dyDescent="0.35">
      <c r="B31" s="16">
        <v>25</v>
      </c>
      <c r="C31" s="51">
        <f>IF(Dashboard!DS8=1,1,0)</f>
        <v>1</v>
      </c>
      <c r="D31" s="51">
        <f>IF(Dashboard!DS8=0,1,0)</f>
        <v>0</v>
      </c>
    </row>
    <row r="32" spans="2:9" x14ac:dyDescent="0.35">
      <c r="B32" s="16">
        <v>26</v>
      </c>
      <c r="C32" s="51">
        <f>IF(Dashboard!DT8=1,1,0)</f>
        <v>1</v>
      </c>
      <c r="D32" s="51">
        <f>IF(Dashboard!DT8=0,1,0)</f>
        <v>0</v>
      </c>
    </row>
    <row r="33" spans="2:4" x14ac:dyDescent="0.35">
      <c r="B33" s="16">
        <v>27</v>
      </c>
      <c r="C33" s="51">
        <f>IF(Dashboard!DU8=1,1,0)</f>
        <v>1</v>
      </c>
      <c r="D33" s="51">
        <f>IF(Dashboard!DU8=0,1,0)</f>
        <v>0</v>
      </c>
    </row>
    <row r="34" spans="2:4" x14ac:dyDescent="0.35">
      <c r="B34" s="16">
        <v>28</v>
      </c>
      <c r="C34" s="51">
        <f>IF(Dashboard!DV8=1,1,0)</f>
        <v>1</v>
      </c>
      <c r="D34" s="51">
        <f>IF(Dashboard!DV8=0,1,0)</f>
        <v>0</v>
      </c>
    </row>
    <row r="35" spans="2:4" x14ac:dyDescent="0.35">
      <c r="B35" s="16">
        <v>29</v>
      </c>
      <c r="C35" s="51">
        <f>IF(Dashboard!DW8=1,1,0)</f>
        <v>1</v>
      </c>
      <c r="D35" s="51">
        <f>IF(Dashboard!DW8=0,1,0)</f>
        <v>0</v>
      </c>
    </row>
    <row r="36" spans="2:4" x14ac:dyDescent="0.35">
      <c r="B36" s="16">
        <v>30</v>
      </c>
      <c r="C36" s="51">
        <f>IF(Dashboard!DX8=1,1,0)</f>
        <v>0</v>
      </c>
      <c r="D36" s="51">
        <f>IF(Dashboard!DX8=0,1,0)</f>
        <v>1</v>
      </c>
    </row>
    <row r="37" spans="2:4" x14ac:dyDescent="0.35">
      <c r="B37" s="16">
        <v>31</v>
      </c>
      <c r="C37" s="51">
        <f>IF(Dashboard!DY8=1,1,0)</f>
        <v>1</v>
      </c>
      <c r="D37" s="51">
        <f>IF(Dashboard!DY8=0,1,0)</f>
        <v>0</v>
      </c>
    </row>
    <row r="38" spans="2:4" x14ac:dyDescent="0.35">
      <c r="B38" s="16">
        <v>32</v>
      </c>
      <c r="C38" s="51">
        <f>IF(Dashboard!DZ8=1,1,0)</f>
        <v>1</v>
      </c>
      <c r="D38" s="51">
        <f>IF(Dashboard!DZ8=0,1,0)</f>
        <v>0</v>
      </c>
    </row>
    <row r="39" spans="2:4" x14ac:dyDescent="0.35">
      <c r="B39" s="16"/>
      <c r="C39" s="52">
        <f>F102+F111</f>
        <v>13</v>
      </c>
      <c r="D39" s="52">
        <f>G102+G111</f>
        <v>3</v>
      </c>
    </row>
    <row r="40" spans="2:4" x14ac:dyDescent="0.35">
      <c r="B40" s="31"/>
      <c r="C40" s="53">
        <f>SUM(C22:C39)</f>
        <v>25</v>
      </c>
      <c r="D40" s="53">
        <f>SUM(D22:D39)</f>
        <v>8</v>
      </c>
    </row>
    <row r="41" spans="2:4" x14ac:dyDescent="0.35">
      <c r="B41" s="28"/>
      <c r="C41" s="54" t="s">
        <v>9</v>
      </c>
      <c r="D41" s="54" t="s">
        <v>10</v>
      </c>
    </row>
    <row r="42" spans="2:4" x14ac:dyDescent="0.35">
      <c r="B42" s="16">
        <v>33</v>
      </c>
      <c r="C42" s="51">
        <f>IF(Dashboard!EA8=1,1,0)</f>
        <v>0</v>
      </c>
      <c r="D42" s="51">
        <f>IF(Dashboard!EA8=0,1,0)</f>
        <v>1</v>
      </c>
    </row>
    <row r="43" spans="2:4" x14ac:dyDescent="0.35">
      <c r="B43" s="16">
        <v>34</v>
      </c>
      <c r="C43" s="51">
        <f>IF(Dashboard!EB8=1,1,0)</f>
        <v>0</v>
      </c>
      <c r="D43" s="51">
        <f>IF(Dashboard!EB8=0,1,0)</f>
        <v>1</v>
      </c>
    </row>
    <row r="44" spans="2:4" x14ac:dyDescent="0.35">
      <c r="B44" s="16">
        <v>35</v>
      </c>
      <c r="C44" s="51">
        <f>IF(Dashboard!EC8=1,1,0)</f>
        <v>0</v>
      </c>
      <c r="D44" s="51">
        <f>IF(Dashboard!EC8=0,1,0)</f>
        <v>1</v>
      </c>
    </row>
    <row r="45" spans="2:4" x14ac:dyDescent="0.35">
      <c r="B45" s="16">
        <v>36</v>
      </c>
      <c r="C45" s="51">
        <f>IF(Dashboard!ED8=1,1,0)</f>
        <v>0</v>
      </c>
      <c r="D45" s="51">
        <f>IF(Dashboard!ED8=0,1,0)</f>
        <v>1</v>
      </c>
    </row>
    <row r="46" spans="2:4" x14ac:dyDescent="0.35">
      <c r="B46" s="16">
        <v>37</v>
      </c>
      <c r="C46" s="51">
        <f>IF(Dashboard!EE8=1,1,0)</f>
        <v>1</v>
      </c>
      <c r="D46" s="51">
        <f>IF(Dashboard!EE8=0,1,0)</f>
        <v>0</v>
      </c>
    </row>
    <row r="47" spans="2:4" x14ac:dyDescent="0.35">
      <c r="B47" s="16">
        <v>38</v>
      </c>
      <c r="C47" s="51">
        <f>IF(Dashboard!EF8=1,1,0)</f>
        <v>1</v>
      </c>
      <c r="D47" s="51">
        <f>IF(Dashboard!EF8=0,1,0)</f>
        <v>0</v>
      </c>
    </row>
    <row r="48" spans="2:4" x14ac:dyDescent="0.35">
      <c r="B48" s="16">
        <v>39</v>
      </c>
      <c r="C48" s="51">
        <f>IF(Dashboard!EG8=1,1,0)</f>
        <v>0</v>
      </c>
      <c r="D48" s="51">
        <f>IF(Dashboard!EG8=0,1,0)</f>
        <v>1</v>
      </c>
    </row>
    <row r="49" spans="2:4" x14ac:dyDescent="0.35">
      <c r="B49" s="16">
        <v>40</v>
      </c>
      <c r="C49" s="51">
        <f>IF(Dashboard!EH8=1,1,0)</f>
        <v>1</v>
      </c>
      <c r="D49" s="51">
        <f>IF(Dashboard!EH8=0,1,0)</f>
        <v>0</v>
      </c>
    </row>
    <row r="50" spans="2:4" x14ac:dyDescent="0.35">
      <c r="B50" s="16">
        <v>41</v>
      </c>
      <c r="C50" s="51">
        <f>IF(Dashboard!EI8=1,1,0)</f>
        <v>1</v>
      </c>
      <c r="D50" s="51">
        <f>IF(Dashboard!EI8=0,1,0)</f>
        <v>0</v>
      </c>
    </row>
    <row r="51" spans="2:4" x14ac:dyDescent="0.35">
      <c r="B51" s="16">
        <v>42</v>
      </c>
      <c r="C51" s="51">
        <f>IF(Dashboard!EJ8=1,1,0)</f>
        <v>0</v>
      </c>
      <c r="D51" s="51">
        <f>IF(Dashboard!EJ8=0,1,0)</f>
        <v>1</v>
      </c>
    </row>
    <row r="52" spans="2:4" x14ac:dyDescent="0.35">
      <c r="B52" s="16">
        <v>43</v>
      </c>
      <c r="C52" s="51">
        <f>IF(Dashboard!EK8=1,1,0)</f>
        <v>1</v>
      </c>
      <c r="D52" s="51">
        <f>IF(Dashboard!EK8=0,1,0)</f>
        <v>0</v>
      </c>
    </row>
    <row r="53" spans="2:4" x14ac:dyDescent="0.35">
      <c r="B53" s="16">
        <v>44</v>
      </c>
      <c r="C53" s="51">
        <f>IF(Dashboard!EL8=1,1,0)</f>
        <v>1</v>
      </c>
      <c r="D53" s="51">
        <f>IF(Dashboard!EL8=0,1,0)</f>
        <v>0</v>
      </c>
    </row>
    <row r="54" spans="2:4" x14ac:dyDescent="0.35">
      <c r="B54" s="16">
        <v>45</v>
      </c>
      <c r="C54" s="51">
        <f>IF(Dashboard!EM8=1,1,0)</f>
        <v>0</v>
      </c>
      <c r="D54" s="51">
        <f>IF(Dashboard!EM8=0,1,0)</f>
        <v>1</v>
      </c>
    </row>
    <row r="55" spans="2:4" x14ac:dyDescent="0.35">
      <c r="B55" s="16">
        <v>46</v>
      </c>
      <c r="C55" s="51">
        <f>IF(Dashboard!EN8=1,1,0)</f>
        <v>0</v>
      </c>
      <c r="D55" s="51">
        <f>IF(Dashboard!EN8=0,1,0)</f>
        <v>1</v>
      </c>
    </row>
    <row r="56" spans="2:4" x14ac:dyDescent="0.35">
      <c r="B56" s="16">
        <v>47</v>
      </c>
      <c r="C56" s="51">
        <f>IF(Dashboard!EO8=1,1,0)</f>
        <v>0</v>
      </c>
      <c r="D56" s="51">
        <f>IF(Dashboard!EO8=0,1,0)</f>
        <v>1</v>
      </c>
    </row>
    <row r="57" spans="2:4" x14ac:dyDescent="0.35">
      <c r="B57" s="16">
        <v>48</v>
      </c>
      <c r="C57" s="51">
        <f>IF(Dashboard!EP8=1,1,0)</f>
        <v>0</v>
      </c>
      <c r="D57" s="51">
        <f>IF(Dashboard!EP8=0,1,0)</f>
        <v>1</v>
      </c>
    </row>
    <row r="58" spans="2:4" x14ac:dyDescent="0.35">
      <c r="B58" s="16">
        <v>49</v>
      </c>
      <c r="C58" s="51">
        <f>IF(Dashboard!EQ8=1,1,0)</f>
        <v>0</v>
      </c>
      <c r="D58" s="51">
        <f>IF(Dashboard!EQ8=0,1,0)</f>
        <v>1</v>
      </c>
    </row>
    <row r="59" spans="2:4" x14ac:dyDescent="0.35">
      <c r="B59" s="16">
        <v>50</v>
      </c>
      <c r="C59" s="51">
        <f>IF(Dashboard!ER8=1,1,0)</f>
        <v>0</v>
      </c>
      <c r="D59" s="51">
        <f>IF(Dashboard!ER8=0,1,0)</f>
        <v>1</v>
      </c>
    </row>
    <row r="60" spans="2:4" x14ac:dyDescent="0.35">
      <c r="B60" s="16">
        <v>51</v>
      </c>
      <c r="C60" s="51">
        <f>IF(Dashboard!ES8=1,1,0)</f>
        <v>0</v>
      </c>
      <c r="D60" s="51">
        <f>IF(Dashboard!ES8=0,1,0)</f>
        <v>1</v>
      </c>
    </row>
    <row r="61" spans="2:4" x14ac:dyDescent="0.35">
      <c r="B61" s="16"/>
      <c r="C61" s="52">
        <f>J102+I111</f>
        <v>10</v>
      </c>
      <c r="D61" s="52">
        <f>I102+J111</f>
        <v>6</v>
      </c>
    </row>
    <row r="62" spans="2:4" x14ac:dyDescent="0.35">
      <c r="B62" s="31"/>
      <c r="C62" s="53">
        <f>SUM(C42:C61)</f>
        <v>16</v>
      </c>
      <c r="D62" s="53">
        <f>SUM(D42:D61)</f>
        <v>19</v>
      </c>
    </row>
    <row r="63" spans="2:4" x14ac:dyDescent="0.35">
      <c r="B63" s="28"/>
      <c r="C63" s="54" t="s">
        <v>11</v>
      </c>
      <c r="D63" s="54" t="s">
        <v>12</v>
      </c>
    </row>
    <row r="64" spans="2:4" x14ac:dyDescent="0.35">
      <c r="B64" s="16">
        <v>52</v>
      </c>
      <c r="C64" s="51">
        <f>IF(Dashboard!ET8=1,1,0)</f>
        <v>1</v>
      </c>
      <c r="D64" s="51">
        <f>IF(Dashboard!ET8=0,1,0)</f>
        <v>0</v>
      </c>
    </row>
    <row r="65" spans="2:4" x14ac:dyDescent="0.35">
      <c r="B65" s="16">
        <v>53</v>
      </c>
      <c r="C65" s="51">
        <f>IF(Dashboard!EU8=1,1,0)</f>
        <v>1</v>
      </c>
      <c r="D65" s="51">
        <f>IF(Dashboard!EU8=0,1,0)</f>
        <v>0</v>
      </c>
    </row>
    <row r="66" spans="2:4" x14ac:dyDescent="0.35">
      <c r="B66" s="16">
        <v>54</v>
      </c>
      <c r="C66" s="51">
        <f>IF(Dashboard!EV8=1,1,0)</f>
        <v>0</v>
      </c>
      <c r="D66" s="51">
        <f>IF(Dashboard!EV8=0,1,0)</f>
        <v>1</v>
      </c>
    </row>
    <row r="67" spans="2:4" x14ac:dyDescent="0.35">
      <c r="B67" s="16">
        <v>55</v>
      </c>
      <c r="C67" s="51">
        <f>IF(Dashboard!EW8=1,1,0)</f>
        <v>1</v>
      </c>
      <c r="D67" s="51">
        <f>IF(Dashboard!EW8=0,1,0)</f>
        <v>0</v>
      </c>
    </row>
    <row r="68" spans="2:4" x14ac:dyDescent="0.35">
      <c r="B68" s="16">
        <v>56</v>
      </c>
      <c r="C68" s="51">
        <f>IF(Dashboard!EX8=1,1,0)</f>
        <v>1</v>
      </c>
      <c r="D68" s="51">
        <f>IF(Dashboard!EX8=0,1,0)</f>
        <v>0</v>
      </c>
    </row>
    <row r="69" spans="2:4" x14ac:dyDescent="0.35">
      <c r="B69" s="16">
        <v>57</v>
      </c>
      <c r="C69" s="51">
        <f>IF(Dashboard!EY8=1,1,0)</f>
        <v>1</v>
      </c>
      <c r="D69" s="51">
        <f>IF(Dashboard!EY8=0,1,0)</f>
        <v>0</v>
      </c>
    </row>
    <row r="70" spans="2:4" x14ac:dyDescent="0.35">
      <c r="B70" s="16">
        <v>58</v>
      </c>
      <c r="C70" s="51">
        <f>IF(Dashboard!EZ8=1,1,0)</f>
        <v>1</v>
      </c>
      <c r="D70" s="51">
        <f>IF(Dashboard!EZ8=0,1,0)</f>
        <v>0</v>
      </c>
    </row>
    <row r="71" spans="2:4" x14ac:dyDescent="0.35">
      <c r="B71" s="16">
        <v>59</v>
      </c>
      <c r="C71" s="51">
        <f>IF(Dashboard!FA8=1,1,0)</f>
        <v>1</v>
      </c>
      <c r="D71" s="51">
        <f>IF(Dashboard!FA8=0,1,0)</f>
        <v>0</v>
      </c>
    </row>
    <row r="72" spans="2:4" x14ac:dyDescent="0.35">
      <c r="B72" s="16">
        <v>60</v>
      </c>
      <c r="C72" s="51">
        <f>IF(Dashboard!FB8=1,1,0)</f>
        <v>1</v>
      </c>
      <c r="D72" s="51">
        <f>IF(Dashboard!FB8=0,1,0)</f>
        <v>0</v>
      </c>
    </row>
    <row r="73" spans="2:4" x14ac:dyDescent="0.35">
      <c r="B73" s="16">
        <v>61</v>
      </c>
      <c r="C73" s="51">
        <f>IF(Dashboard!FC8=1,1,0)</f>
        <v>1</v>
      </c>
      <c r="D73" s="51">
        <f>IF(Dashboard!FC8=0,1,0)</f>
        <v>0</v>
      </c>
    </row>
    <row r="74" spans="2:4" x14ac:dyDescent="0.35">
      <c r="B74" s="16">
        <v>62</v>
      </c>
      <c r="C74" s="51">
        <f>IF(Dashboard!FD8=1,1,0)</f>
        <v>0</v>
      </c>
      <c r="D74" s="51">
        <f>IF(Dashboard!FD8=0,1,0)</f>
        <v>1</v>
      </c>
    </row>
    <row r="75" spans="2:4" x14ac:dyDescent="0.35">
      <c r="B75" s="16">
        <v>63</v>
      </c>
      <c r="C75" s="51">
        <f>IF(Dashboard!FE8=1,1,0)</f>
        <v>0</v>
      </c>
      <c r="D75" s="51">
        <f>IF(Dashboard!FE8=0,1,0)</f>
        <v>1</v>
      </c>
    </row>
    <row r="76" spans="2:4" x14ac:dyDescent="0.35">
      <c r="B76" s="16">
        <v>64</v>
      </c>
      <c r="C76" s="51">
        <f>IF(Dashboard!FF8=1,1,0)</f>
        <v>0</v>
      </c>
      <c r="D76" s="51">
        <f>IF(Dashboard!FF8=0,1,0)</f>
        <v>1</v>
      </c>
    </row>
    <row r="77" spans="2:4" x14ac:dyDescent="0.35">
      <c r="B77" s="16">
        <v>65</v>
      </c>
      <c r="C77" s="51">
        <f>IF(Dashboard!FG8=1,1,0)</f>
        <v>1</v>
      </c>
      <c r="D77" s="51">
        <f>IF(Dashboard!FG8=0,1,0)</f>
        <v>0</v>
      </c>
    </row>
    <row r="78" spans="2:4" x14ac:dyDescent="0.35">
      <c r="B78" s="16">
        <v>66</v>
      </c>
      <c r="C78" s="51">
        <f>IF(Dashboard!FH8=1,1,0)</f>
        <v>0</v>
      </c>
      <c r="D78" s="51">
        <f>IF(Dashboard!FH8=0,1,0)</f>
        <v>1</v>
      </c>
    </row>
    <row r="79" spans="2:4" x14ac:dyDescent="0.35">
      <c r="B79" s="16">
        <v>67</v>
      </c>
      <c r="C79" s="51">
        <f>IF(Dashboard!FI8=1,1,0)</f>
        <v>0</v>
      </c>
      <c r="D79" s="51">
        <f>IF(Dashboard!FI8=0,1,0)</f>
        <v>1</v>
      </c>
    </row>
    <row r="80" spans="2:4" x14ac:dyDescent="0.35">
      <c r="B80" s="16">
        <v>68</v>
      </c>
      <c r="C80" s="51">
        <f>IF(Dashboard!FJ8=1,1,0)</f>
        <v>0</v>
      </c>
      <c r="D80" s="51">
        <f>IF(Dashboard!FJ8=0,1,0)</f>
        <v>1</v>
      </c>
    </row>
    <row r="81" spans="1:13" x14ac:dyDescent="0.35">
      <c r="B81" s="16"/>
      <c r="C81" s="52">
        <f>L102+L111</f>
        <v>14</v>
      </c>
      <c r="D81" s="52">
        <f>M102+M111</f>
        <v>2</v>
      </c>
    </row>
    <row r="82" spans="1:13" x14ac:dyDescent="0.35">
      <c r="B82" s="31"/>
      <c r="C82" s="53">
        <f>SUM(C64:C81)</f>
        <v>24</v>
      </c>
      <c r="D82" s="53">
        <f>SUM(D64:D81)</f>
        <v>9</v>
      </c>
    </row>
    <row r="88" spans="1:13" ht="15" thickBot="1" x14ac:dyDescent="0.4">
      <c r="A88" s="2" t="s">
        <v>69</v>
      </c>
    </row>
    <row r="89" spans="1:13" ht="15" thickBot="1" x14ac:dyDescent="0.4">
      <c r="C89" s="29" t="s">
        <v>4</v>
      </c>
      <c r="D89" s="30" t="s">
        <v>5</v>
      </c>
      <c r="E89" s="9"/>
      <c r="F89" s="29" t="s">
        <v>6</v>
      </c>
      <c r="G89" s="30" t="s">
        <v>36</v>
      </c>
      <c r="H89" s="9"/>
      <c r="I89" s="29" t="s">
        <v>10</v>
      </c>
      <c r="J89" s="30" t="s">
        <v>9</v>
      </c>
      <c r="K89" s="9"/>
      <c r="L89" s="29" t="s">
        <v>15</v>
      </c>
      <c r="M89" s="30" t="s">
        <v>16</v>
      </c>
    </row>
    <row r="90" spans="1:13" x14ac:dyDescent="0.35">
      <c r="B90" s="2">
        <v>1</v>
      </c>
      <c r="C90" s="55">
        <f>IF(Dashboard!FK8=1,1,0)</f>
        <v>0</v>
      </c>
      <c r="D90" s="56">
        <f>IF(C90=1,0,1)</f>
        <v>1</v>
      </c>
      <c r="E90" s="2">
        <v>2</v>
      </c>
      <c r="F90" s="55">
        <f>IF(Dashboard!FL8=1,1,0)</f>
        <v>1</v>
      </c>
      <c r="G90" s="56">
        <f>IF(F90=1,0,1)</f>
        <v>0</v>
      </c>
      <c r="H90" s="2">
        <v>3</v>
      </c>
      <c r="I90" s="55">
        <f>IF(Dashboard!FM8=1,1,0)</f>
        <v>1</v>
      </c>
      <c r="J90" s="56">
        <f>IF(I90=1,0,1)</f>
        <v>0</v>
      </c>
      <c r="K90" s="2">
        <v>4</v>
      </c>
      <c r="L90" s="55">
        <f>IF(Dashboard!FN8=1,1,0)</f>
        <v>1</v>
      </c>
      <c r="M90" s="56">
        <f>IF(L90=1,0,1)</f>
        <v>0</v>
      </c>
    </row>
    <row r="91" spans="1:13" x14ac:dyDescent="0.35">
      <c r="B91" s="2">
        <v>5</v>
      </c>
      <c r="C91" s="57">
        <f>IF(Dashboard!FO8=1,1,0)</f>
        <v>0</v>
      </c>
      <c r="D91" s="56">
        <f t="shared" ref="D91:D101" si="0">IF(C91=1,0,1)</f>
        <v>1</v>
      </c>
      <c r="E91" s="2">
        <v>6</v>
      </c>
      <c r="F91" s="57">
        <f>IF(Dashboard!FP8=1,1,0)</f>
        <v>1</v>
      </c>
      <c r="G91" s="56">
        <f t="shared" ref="G91:G101" si="1">IF(F91=1,0,1)</f>
        <v>0</v>
      </c>
      <c r="H91" s="2">
        <v>7</v>
      </c>
      <c r="I91" s="57">
        <f>IF(Dashboard!FQ8=1,1,0)</f>
        <v>0</v>
      </c>
      <c r="J91" s="56">
        <f t="shared" ref="J91:J101" si="2">IF(I91=1,0,1)</f>
        <v>1</v>
      </c>
      <c r="K91" s="2">
        <v>8</v>
      </c>
      <c r="L91" s="57">
        <f>IF(Dashboard!FR8=1,1,0)</f>
        <v>1</v>
      </c>
      <c r="M91" s="56">
        <f t="shared" ref="M91:M101" si="3">IF(L91=1,0,1)</f>
        <v>0</v>
      </c>
    </row>
    <row r="92" spans="1:13" x14ac:dyDescent="0.35">
      <c r="B92" s="2">
        <v>9</v>
      </c>
      <c r="C92" s="57">
        <f>IF(Dashboard!FS8=1,1,0)</f>
        <v>0</v>
      </c>
      <c r="D92" s="56">
        <f t="shared" si="0"/>
        <v>1</v>
      </c>
      <c r="E92" s="2">
        <v>10</v>
      </c>
      <c r="F92" s="57">
        <f>IF(Dashboard!FT8=1,1,0)</f>
        <v>1</v>
      </c>
      <c r="G92" s="56">
        <f t="shared" si="1"/>
        <v>0</v>
      </c>
      <c r="H92" s="2">
        <v>11</v>
      </c>
      <c r="I92" s="57">
        <f>IF(Dashboard!FU8=1,1,0)</f>
        <v>1</v>
      </c>
      <c r="J92" s="56">
        <f t="shared" si="2"/>
        <v>0</v>
      </c>
      <c r="K92" s="2">
        <v>12</v>
      </c>
      <c r="L92" s="57">
        <f>IF(Dashboard!FV8=1,1,0)</f>
        <v>1</v>
      </c>
      <c r="M92" s="56">
        <f t="shared" si="3"/>
        <v>0</v>
      </c>
    </row>
    <row r="93" spans="1:13" x14ac:dyDescent="0.35">
      <c r="B93" s="2">
        <v>13</v>
      </c>
      <c r="C93" s="57">
        <f>IF(Dashboard!FW8=1,1,0)</f>
        <v>0</v>
      </c>
      <c r="D93" s="56">
        <f t="shared" si="0"/>
        <v>1</v>
      </c>
      <c r="E93" s="2">
        <v>14</v>
      </c>
      <c r="F93" s="57">
        <f>IF(Dashboard!FX8=1,1,0)</f>
        <v>0</v>
      </c>
      <c r="G93" s="56">
        <f t="shared" si="1"/>
        <v>1</v>
      </c>
      <c r="H93" s="2">
        <v>15</v>
      </c>
      <c r="I93" s="57">
        <f>IF(Dashboard!FY8=1,1,0)</f>
        <v>0</v>
      </c>
      <c r="J93" s="56">
        <f t="shared" si="2"/>
        <v>1</v>
      </c>
      <c r="K93" s="2">
        <v>16</v>
      </c>
      <c r="L93" s="57">
        <f>IF(Dashboard!FZ8=1,1,0)</f>
        <v>1</v>
      </c>
      <c r="M93" s="56">
        <f t="shared" si="3"/>
        <v>0</v>
      </c>
    </row>
    <row r="94" spans="1:13" x14ac:dyDescent="0.35">
      <c r="B94" s="2">
        <v>17</v>
      </c>
      <c r="C94" s="57">
        <f>IF(Dashboard!GA8=1,1,0)</f>
        <v>1</v>
      </c>
      <c r="D94" s="56">
        <f t="shared" si="0"/>
        <v>0</v>
      </c>
      <c r="E94" s="2">
        <v>18</v>
      </c>
      <c r="F94" s="57">
        <f>IF(Dashboard!GB8=1,1,0)</f>
        <v>1</v>
      </c>
      <c r="G94" s="56">
        <f t="shared" si="1"/>
        <v>0</v>
      </c>
      <c r="H94" s="2">
        <v>19</v>
      </c>
      <c r="I94" s="57">
        <f>IF(Dashboard!GC8=1,1,0)</f>
        <v>0</v>
      </c>
      <c r="J94" s="56">
        <f t="shared" si="2"/>
        <v>1</v>
      </c>
      <c r="K94" s="2">
        <v>20</v>
      </c>
      <c r="L94" s="57">
        <f>IF(Dashboard!GD8=1,1,0)</f>
        <v>1</v>
      </c>
      <c r="M94" s="56">
        <f t="shared" si="3"/>
        <v>0</v>
      </c>
    </row>
    <row r="95" spans="1:13" x14ac:dyDescent="0.35">
      <c r="B95" s="2">
        <v>21</v>
      </c>
      <c r="C95" s="57">
        <f>IF(Dashboard!GE8=1,1,0)</f>
        <v>1</v>
      </c>
      <c r="D95" s="56">
        <f t="shared" si="0"/>
        <v>0</v>
      </c>
      <c r="E95" s="2">
        <v>22</v>
      </c>
      <c r="F95" s="57">
        <f>IF(Dashboard!GF8=1,1,0)</f>
        <v>1</v>
      </c>
      <c r="G95" s="56">
        <f t="shared" si="1"/>
        <v>0</v>
      </c>
      <c r="H95" s="2">
        <v>23</v>
      </c>
      <c r="I95" s="57">
        <f>IF(Dashboard!GG8=1,1,0)</f>
        <v>0</v>
      </c>
      <c r="J95" s="56">
        <f t="shared" si="2"/>
        <v>1</v>
      </c>
      <c r="K95" s="2">
        <v>24</v>
      </c>
      <c r="L95" s="57">
        <f>IF(Dashboard!GH8=1,1,0)</f>
        <v>0</v>
      </c>
      <c r="M95" s="56">
        <f t="shared" si="3"/>
        <v>1</v>
      </c>
    </row>
    <row r="96" spans="1:13" x14ac:dyDescent="0.35">
      <c r="B96" s="2">
        <v>25</v>
      </c>
      <c r="C96" s="57">
        <f>IF(Dashboard!GI8=1,1,0)</f>
        <v>0</v>
      </c>
      <c r="D96" s="56">
        <f t="shared" si="0"/>
        <v>1</v>
      </c>
      <c r="E96" s="2">
        <v>26</v>
      </c>
      <c r="F96" s="57">
        <f>IF(Dashboard!GJ8=1,1,0)</f>
        <v>1</v>
      </c>
      <c r="G96" s="56">
        <f t="shared" si="1"/>
        <v>0</v>
      </c>
      <c r="H96" s="2">
        <v>27</v>
      </c>
      <c r="I96" s="57">
        <f>IF(Dashboard!GK8=1,1,0)</f>
        <v>0</v>
      </c>
      <c r="J96" s="56">
        <f t="shared" si="2"/>
        <v>1</v>
      </c>
      <c r="K96" s="2">
        <v>28</v>
      </c>
      <c r="L96" s="57">
        <f>IF(Dashboard!GL8=1,1,0)</f>
        <v>1</v>
      </c>
      <c r="M96" s="56">
        <f t="shared" si="3"/>
        <v>0</v>
      </c>
    </row>
    <row r="97" spans="1:13" x14ac:dyDescent="0.35">
      <c r="B97" s="2">
        <v>29</v>
      </c>
      <c r="C97" s="57">
        <f>IF(Dashboard!GM8=1,1,0)</f>
        <v>1</v>
      </c>
      <c r="D97" s="56">
        <f t="shared" si="0"/>
        <v>0</v>
      </c>
      <c r="E97" s="2">
        <v>30</v>
      </c>
      <c r="F97" s="57">
        <f>IF(Dashboard!GN8=1,1,0)</f>
        <v>1</v>
      </c>
      <c r="G97" s="56">
        <f t="shared" si="1"/>
        <v>0</v>
      </c>
      <c r="H97" s="2">
        <v>31</v>
      </c>
      <c r="I97" s="57">
        <f>IF(Dashboard!GO8=1,1,0)</f>
        <v>1</v>
      </c>
      <c r="J97" s="56">
        <f t="shared" si="2"/>
        <v>0</v>
      </c>
      <c r="K97" s="2">
        <v>32</v>
      </c>
      <c r="L97" s="57">
        <f>IF(Dashboard!GP8=1,1,0)</f>
        <v>1</v>
      </c>
      <c r="M97" s="56">
        <f t="shared" si="3"/>
        <v>0</v>
      </c>
    </row>
    <row r="98" spans="1:13" x14ac:dyDescent="0.35">
      <c r="B98" s="2">
        <v>33</v>
      </c>
      <c r="C98" s="57">
        <f>IF(Dashboard!GQ8=1,1,0)</f>
        <v>0</v>
      </c>
      <c r="D98" s="56">
        <f t="shared" si="0"/>
        <v>1</v>
      </c>
      <c r="E98" s="2">
        <v>34</v>
      </c>
      <c r="F98" s="57">
        <f>IF(Dashboard!GR8=1,1,0)</f>
        <v>1</v>
      </c>
      <c r="G98" s="56">
        <f t="shared" si="1"/>
        <v>0</v>
      </c>
      <c r="H98" s="2">
        <v>35</v>
      </c>
      <c r="I98" s="57">
        <f>IF(Dashboard!GS8=1,1,0)</f>
        <v>1</v>
      </c>
      <c r="J98" s="56">
        <f t="shared" si="2"/>
        <v>0</v>
      </c>
      <c r="K98" s="2">
        <v>36</v>
      </c>
      <c r="L98" s="57">
        <f>IF(Dashboard!GT8=1,1,0)</f>
        <v>0</v>
      </c>
      <c r="M98" s="56">
        <f t="shared" si="3"/>
        <v>1</v>
      </c>
    </row>
    <row r="99" spans="1:13" x14ac:dyDescent="0.35">
      <c r="B99" s="2">
        <v>37</v>
      </c>
      <c r="C99" s="57">
        <f>IF(Dashboard!GU8=1,1,0)</f>
        <v>0</v>
      </c>
      <c r="D99" s="56">
        <f t="shared" si="0"/>
        <v>1</v>
      </c>
      <c r="E99" s="2">
        <v>38</v>
      </c>
      <c r="F99" s="57">
        <f>IF(Dashboard!GV8=1,1,0)</f>
        <v>0</v>
      </c>
      <c r="G99" s="56">
        <f t="shared" si="1"/>
        <v>1</v>
      </c>
      <c r="H99" s="2">
        <v>39</v>
      </c>
      <c r="I99" s="57">
        <f>IF(Dashboard!GW8=1,1,0)</f>
        <v>0</v>
      </c>
      <c r="J99" s="56">
        <f t="shared" si="2"/>
        <v>1</v>
      </c>
      <c r="K99" s="2">
        <v>40</v>
      </c>
      <c r="L99" s="57">
        <f>IF(Dashboard!GX8=1,1,0)</f>
        <v>1</v>
      </c>
      <c r="M99" s="56">
        <f t="shared" si="3"/>
        <v>0</v>
      </c>
    </row>
    <row r="100" spans="1:13" x14ac:dyDescent="0.35">
      <c r="B100" s="2">
        <v>41</v>
      </c>
      <c r="C100" s="57">
        <f>IF(Dashboard!GY8=1,1,0)</f>
        <v>1</v>
      </c>
      <c r="D100" s="56">
        <f t="shared" si="0"/>
        <v>0</v>
      </c>
      <c r="E100" s="2">
        <v>42</v>
      </c>
      <c r="F100" s="57">
        <f>IF(Dashboard!GZ8=1,1,0)</f>
        <v>1</v>
      </c>
      <c r="G100" s="56">
        <f t="shared" si="1"/>
        <v>0</v>
      </c>
      <c r="H100" s="2">
        <v>43</v>
      </c>
      <c r="I100" s="57">
        <f>IF(Dashboard!HA8=1,1,0)</f>
        <v>1</v>
      </c>
      <c r="J100" s="56">
        <f t="shared" si="2"/>
        <v>0</v>
      </c>
      <c r="K100" s="2">
        <v>44</v>
      </c>
      <c r="L100" s="57">
        <f>IF(Dashboard!HB8=1,1,0)</f>
        <v>1</v>
      </c>
      <c r="M100" s="56">
        <f t="shared" si="3"/>
        <v>0</v>
      </c>
    </row>
    <row r="101" spans="1:13" ht="15" thickBot="1" x14ac:dyDescent="0.4">
      <c r="B101" s="2">
        <v>45</v>
      </c>
      <c r="C101" s="58">
        <f>IF(Dashboard!HC8=1,1,0)</f>
        <v>0</v>
      </c>
      <c r="D101" s="56">
        <f t="shared" si="0"/>
        <v>1</v>
      </c>
      <c r="E101" s="2">
        <v>46</v>
      </c>
      <c r="F101" s="58">
        <f>IF(Dashboard!HD8=1,1,0)</f>
        <v>1</v>
      </c>
      <c r="G101" s="56">
        <f t="shared" si="1"/>
        <v>0</v>
      </c>
      <c r="H101" s="2">
        <v>47</v>
      </c>
      <c r="I101" s="58">
        <f>IF(Dashboard!HE8=1,1,0)</f>
        <v>0</v>
      </c>
      <c r="J101" s="56">
        <f t="shared" si="2"/>
        <v>1</v>
      </c>
      <c r="K101" s="2">
        <v>48</v>
      </c>
      <c r="L101" s="58">
        <f>IF(Dashboard!HF8=1,1,0)</f>
        <v>1</v>
      </c>
      <c r="M101" s="56">
        <f t="shared" si="3"/>
        <v>0</v>
      </c>
    </row>
    <row r="102" spans="1:13" x14ac:dyDescent="0.35">
      <c r="C102" s="45">
        <f>SUM(C90:C101)</f>
        <v>4</v>
      </c>
      <c r="D102" s="45">
        <f>SUM(D90:D101)</f>
        <v>8</v>
      </c>
      <c r="F102" s="45">
        <f>SUM(F90:F101)</f>
        <v>10</v>
      </c>
      <c r="G102" s="45">
        <f>SUM(G90:G101)</f>
        <v>2</v>
      </c>
      <c r="I102" s="45">
        <f>SUM(I90:I101)</f>
        <v>5</v>
      </c>
      <c r="J102" s="45">
        <f>SUM(J90:J101)</f>
        <v>7</v>
      </c>
      <c r="L102" s="45">
        <f>SUM(L90:L101)</f>
        <v>10</v>
      </c>
      <c r="M102" s="45">
        <f>SUM(M90:M101)</f>
        <v>2</v>
      </c>
    </row>
    <row r="105" spans="1:13" ht="15" thickBot="1" x14ac:dyDescent="0.4">
      <c r="A105" s="2" t="s">
        <v>70</v>
      </c>
    </row>
    <row r="106" spans="1:13" ht="15" thickBot="1" x14ac:dyDescent="0.4">
      <c r="C106" s="29" t="s">
        <v>4</v>
      </c>
      <c r="D106" s="30" t="s">
        <v>5</v>
      </c>
      <c r="E106" s="9"/>
      <c r="F106" s="29" t="s">
        <v>6</v>
      </c>
      <c r="G106" s="30" t="s">
        <v>36</v>
      </c>
      <c r="H106" s="9"/>
      <c r="I106" s="29" t="s">
        <v>9</v>
      </c>
      <c r="J106" s="30" t="s">
        <v>10</v>
      </c>
      <c r="K106" s="9"/>
      <c r="L106" s="29" t="s">
        <v>15</v>
      </c>
      <c r="M106" s="30" t="s">
        <v>16</v>
      </c>
    </row>
    <row r="107" spans="1:13" x14ac:dyDescent="0.35">
      <c r="B107" s="41" t="s">
        <v>83</v>
      </c>
      <c r="C107" s="60">
        <f>IF(Dashboard!IN8=1,1,0)</f>
        <v>1</v>
      </c>
      <c r="D107" s="56">
        <f>IF(C107=1,0,1)</f>
        <v>0</v>
      </c>
      <c r="E107" s="41" t="s">
        <v>83</v>
      </c>
      <c r="F107" s="60">
        <f>IF(Dashboard!IS8=1,1,0)</f>
        <v>1</v>
      </c>
      <c r="G107" s="56">
        <f>IF(F107=1,0,1)</f>
        <v>0</v>
      </c>
      <c r="H107" s="41" t="s">
        <v>82</v>
      </c>
      <c r="I107" s="60">
        <f>IF(Dashboard!IW8=1,1,0)</f>
        <v>1</v>
      </c>
      <c r="J107" s="56">
        <f>IF(I107=1,0,1)</f>
        <v>0</v>
      </c>
      <c r="K107" s="41" t="s">
        <v>83</v>
      </c>
      <c r="L107" s="60">
        <f>IF(Dashboard!JB8=1,1,0)</f>
        <v>1</v>
      </c>
      <c r="M107" s="56">
        <f>IF(L107=1,0,1)</f>
        <v>0</v>
      </c>
    </row>
    <row r="108" spans="1:13" x14ac:dyDescent="0.35">
      <c r="B108" s="41" t="s">
        <v>84</v>
      </c>
      <c r="C108" s="57">
        <f>IF(Dashboard!IO8=1,1,0)</f>
        <v>1</v>
      </c>
      <c r="D108" s="56">
        <f t="shared" ref="D108:D110" si="4">IF(C108=1,0,1)</f>
        <v>0</v>
      </c>
      <c r="E108" s="41" t="s">
        <v>84</v>
      </c>
      <c r="F108" s="57">
        <f>IF(Dashboard!IT8=1,1,0)</f>
        <v>0</v>
      </c>
      <c r="G108" s="56">
        <f t="shared" ref="G108:G110" si="5">IF(F108=1,0,1)</f>
        <v>1</v>
      </c>
      <c r="H108" s="41" t="s">
        <v>83</v>
      </c>
      <c r="I108" s="57">
        <f>IF(Dashboard!IX8=1,1,0)</f>
        <v>1</v>
      </c>
      <c r="J108" s="56">
        <f>IF(I108=1,0,1)</f>
        <v>0</v>
      </c>
      <c r="K108" s="41" t="s">
        <v>84</v>
      </c>
      <c r="L108" s="57">
        <f>IF(Dashboard!JC8=1,1,0)</f>
        <v>1</v>
      </c>
      <c r="M108" s="56">
        <f t="shared" ref="M108:M110" si="6">IF(L108=1,0,1)</f>
        <v>0</v>
      </c>
    </row>
    <row r="109" spans="1:13" x14ac:dyDescent="0.35">
      <c r="B109" s="41" t="s">
        <v>65</v>
      </c>
      <c r="C109" s="57">
        <f>IF(Dashboard!IP8=1,1,0)</f>
        <v>0</v>
      </c>
      <c r="D109" s="56">
        <f t="shared" si="4"/>
        <v>1</v>
      </c>
      <c r="E109" s="41" t="s">
        <v>65</v>
      </c>
      <c r="F109" s="57">
        <f>IF(Dashboard!IU8=1,1,0)</f>
        <v>1</v>
      </c>
      <c r="G109" s="56">
        <f t="shared" si="5"/>
        <v>0</v>
      </c>
      <c r="H109" s="41" t="s">
        <v>84</v>
      </c>
      <c r="I109" s="57">
        <f>IF(Dashboard!IY8=1,1,0)</f>
        <v>1</v>
      </c>
      <c r="J109" s="56">
        <f t="shared" ref="J109:J110" si="7">IF(I109=1,0,1)</f>
        <v>0</v>
      </c>
      <c r="K109" s="41" t="s">
        <v>65</v>
      </c>
      <c r="L109" s="57">
        <f>IF(Dashboard!JD8=1,1,0)</f>
        <v>1</v>
      </c>
      <c r="M109" s="56">
        <f>IF(L109=1,0,1)</f>
        <v>0</v>
      </c>
    </row>
    <row r="110" spans="1:13" ht="15" thickBot="1" x14ac:dyDescent="0.4">
      <c r="B110" s="41" t="s">
        <v>66</v>
      </c>
      <c r="C110" s="58">
        <f>IF(Dashboard!IQ8=1,1,0)</f>
        <v>0</v>
      </c>
      <c r="D110" s="56">
        <f t="shared" si="4"/>
        <v>1</v>
      </c>
      <c r="E110" s="41" t="s">
        <v>66</v>
      </c>
      <c r="F110" s="58">
        <f>IF(Dashboard!IV8=1,1,0)</f>
        <v>1</v>
      </c>
      <c r="G110" s="56">
        <f t="shared" si="5"/>
        <v>0</v>
      </c>
      <c r="H110" s="41" t="s">
        <v>65</v>
      </c>
      <c r="I110" s="58">
        <f>IF(Dashboard!IZ8=1,1,0)</f>
        <v>0</v>
      </c>
      <c r="J110" s="56">
        <f t="shared" si="7"/>
        <v>1</v>
      </c>
      <c r="K110" s="41" t="s">
        <v>66</v>
      </c>
      <c r="L110" s="58">
        <f>IF(Dashboard!JE8=1,1,0)</f>
        <v>1</v>
      </c>
      <c r="M110" s="56">
        <f t="shared" si="6"/>
        <v>0</v>
      </c>
    </row>
    <row r="111" spans="1:13" x14ac:dyDescent="0.35">
      <c r="C111" s="45">
        <f>SUM(C107:C110)</f>
        <v>2</v>
      </c>
      <c r="D111" s="45">
        <f>SUM(D107:D110)</f>
        <v>2</v>
      </c>
      <c r="F111" s="45">
        <f>SUM(F107:F110)</f>
        <v>3</v>
      </c>
      <c r="G111" s="45">
        <f>SUM(G107:G110)</f>
        <v>1</v>
      </c>
      <c r="I111" s="45">
        <f>SUM(I107:I110)</f>
        <v>3</v>
      </c>
      <c r="J111" s="45">
        <f>SUM(J107:J110)</f>
        <v>1</v>
      </c>
      <c r="L111" s="45">
        <f>SUM(L107:L110)</f>
        <v>4</v>
      </c>
      <c r="M111" s="45">
        <f>SUM(M107:M110)</f>
        <v>0</v>
      </c>
    </row>
  </sheetData>
  <dataValidations count="2">
    <dataValidation type="whole" allowBlank="1" showInputMessage="1" showErrorMessage="1" sqref="F90:G101 F107:G110 C4:D18 C22:D38 C64:D80 C90:D101 C42:D60 I90:J101 L90:M101 C107:D110 I107:J110 L107:M110" xr:uid="{00000000-0002-0000-0100-000000000000}">
      <formula1>0</formula1>
      <formula2>1</formula2>
    </dataValidation>
    <dataValidation type="whole" allowBlank="1" showInputMessage="1" showErrorMessage="1" sqref="C19:D19 C39:D39 C61:D61 C81:D81" xr:uid="{00000000-0002-0000-0100-000001000000}">
      <formula1>0</formula1>
      <formula2>12</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D23"/>
  <sheetViews>
    <sheetView topLeftCell="A4" zoomScaleNormal="100" workbookViewId="0">
      <selection activeCell="B4" sqref="B4:C19"/>
    </sheetView>
  </sheetViews>
  <sheetFormatPr defaultColWidth="8.81640625" defaultRowHeight="14.5" x14ac:dyDescent="0.35"/>
  <cols>
    <col min="4" max="4" width="39.81640625" bestFit="1" customWidth="1"/>
  </cols>
  <sheetData>
    <row r="3" spans="2:4" x14ac:dyDescent="0.35">
      <c r="B3" t="s">
        <v>31</v>
      </c>
    </row>
    <row r="4" spans="2:4" x14ac:dyDescent="0.35">
      <c r="B4" s="59">
        <f>Dashboard!HG8+Dashboard!HH8+Dashboard!JF8</f>
        <v>1</v>
      </c>
      <c r="C4" t="s">
        <v>3</v>
      </c>
      <c r="D4" t="s">
        <v>131</v>
      </c>
    </row>
    <row r="5" spans="2:4" x14ac:dyDescent="0.35">
      <c r="B5" s="59">
        <f>Dashboard!HI8+Dashboard!HJ8+Dashboard!JG8</f>
        <v>6</v>
      </c>
      <c r="C5" t="s">
        <v>7</v>
      </c>
      <c r="D5" s="1" t="s">
        <v>17</v>
      </c>
    </row>
    <row r="6" spans="2:4" x14ac:dyDescent="0.35">
      <c r="B6" s="59">
        <f>Dashboard!HK8+Dashboard!HL8+Dashboard!JH8</f>
        <v>3</v>
      </c>
      <c r="C6" t="s">
        <v>32</v>
      </c>
      <c r="D6" s="1" t="s">
        <v>18</v>
      </c>
    </row>
    <row r="7" spans="2:4" x14ac:dyDescent="0.35">
      <c r="B7" s="59">
        <v>7</v>
      </c>
      <c r="C7" t="s">
        <v>33</v>
      </c>
      <c r="D7" t="s">
        <v>19</v>
      </c>
    </row>
    <row r="8" spans="2:4" x14ac:dyDescent="0.35">
      <c r="B8" s="59">
        <f>Dashboard!HO8+Dashboard!HP8+Dashboard!JJ8</f>
        <v>4</v>
      </c>
      <c r="C8" t="s">
        <v>4</v>
      </c>
      <c r="D8" s="1" t="s">
        <v>20</v>
      </c>
    </row>
    <row r="9" spans="2:4" x14ac:dyDescent="0.35">
      <c r="B9" s="59">
        <f>Dashboard!HQ8+Dashboard!HR8+Dashboard!JK8</f>
        <v>5</v>
      </c>
      <c r="C9" t="s">
        <v>10</v>
      </c>
      <c r="D9" s="1" t="s">
        <v>21</v>
      </c>
    </row>
    <row r="10" spans="2:4" x14ac:dyDescent="0.35">
      <c r="B10" s="59">
        <f>Dashboard!HS8+Dashboard!HT8+Dashboard!JL8</f>
        <v>5</v>
      </c>
      <c r="C10" t="s">
        <v>34</v>
      </c>
      <c r="D10" s="2" t="s">
        <v>22</v>
      </c>
    </row>
    <row r="11" spans="2:4" x14ac:dyDescent="0.35">
      <c r="B11" s="59">
        <f>Dashboard!HU8+Dashboard!HV8+Dashboard!JM8</f>
        <v>5</v>
      </c>
      <c r="C11" t="s">
        <v>35</v>
      </c>
      <c r="D11" s="1" t="s">
        <v>23</v>
      </c>
    </row>
    <row r="12" spans="2:4" x14ac:dyDescent="0.35">
      <c r="B12" s="59">
        <f>Dashboard!HW8+Dashboard!HX8+Dashboard!JN8</f>
        <v>5</v>
      </c>
      <c r="C12" t="s">
        <v>9</v>
      </c>
      <c r="D12" t="s">
        <v>24</v>
      </c>
    </row>
    <row r="13" spans="2:4" x14ac:dyDescent="0.35">
      <c r="B13" s="59">
        <f>Dashboard!HY8+Dashboard!HZ8+Dashboard!JO8</f>
        <v>4</v>
      </c>
      <c r="C13" t="s">
        <v>6</v>
      </c>
      <c r="D13" s="1" t="s">
        <v>25</v>
      </c>
    </row>
    <row r="14" spans="2:4" x14ac:dyDescent="0.35">
      <c r="B14" s="59">
        <v>1</v>
      </c>
      <c r="C14" t="s">
        <v>5</v>
      </c>
      <c r="D14" t="s">
        <v>26</v>
      </c>
    </row>
    <row r="15" spans="2:4" x14ac:dyDescent="0.35">
      <c r="B15" s="59">
        <f>Dashboard!IC8+Dashboard!ID8+Dashboard!JQ8</f>
        <v>3</v>
      </c>
      <c r="C15" t="s">
        <v>16</v>
      </c>
      <c r="D15" t="s">
        <v>27</v>
      </c>
    </row>
    <row r="16" spans="2:4" x14ac:dyDescent="0.35">
      <c r="B16" s="59">
        <v>8</v>
      </c>
      <c r="C16" t="s">
        <v>101</v>
      </c>
      <c r="D16" s="1" t="s">
        <v>28</v>
      </c>
    </row>
    <row r="17" spans="2:4" x14ac:dyDescent="0.35">
      <c r="B17" s="59">
        <f>Dashboard!IG8+Dashboard!IH8+Dashboard!JS8</f>
        <v>4</v>
      </c>
      <c r="C17" t="s">
        <v>36</v>
      </c>
      <c r="D17" s="1" t="s">
        <v>29</v>
      </c>
    </row>
    <row r="18" spans="2:4" x14ac:dyDescent="0.35">
      <c r="B18" s="59">
        <v>3</v>
      </c>
      <c r="C18" t="s">
        <v>37</v>
      </c>
      <c r="D18" t="s">
        <v>30</v>
      </c>
    </row>
    <row r="19" spans="2:4" x14ac:dyDescent="0.35">
      <c r="B19" s="59">
        <f>Dashboard!IK8+Dashboard!IL8+Dashboard!JU8</f>
        <v>5</v>
      </c>
      <c r="C19" t="s">
        <v>38</v>
      </c>
      <c r="D19" t="s">
        <v>134</v>
      </c>
    </row>
    <row r="22" spans="2:4" x14ac:dyDescent="0.35">
      <c r="B22" s="47">
        <f>MAX(B4:B19)</f>
        <v>8</v>
      </c>
    </row>
    <row r="23" spans="2:4" x14ac:dyDescent="0.35">
      <c r="B23" s="47" t="str">
        <f>VLOOKUP(B22, B4:$C$19,2,FALSE)</f>
        <v>M</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sheetPr>
  <dimension ref="A1:J56"/>
  <sheetViews>
    <sheetView tabSelected="1" topLeftCell="A15" zoomScale="80" zoomScaleNormal="100" zoomScaleSheetLayoutView="130" zoomScalePageLayoutView="115" workbookViewId="0">
      <selection activeCell="A18" sqref="A18:A26"/>
    </sheetView>
  </sheetViews>
  <sheetFormatPr defaultColWidth="8.81640625" defaultRowHeight="14.5" x14ac:dyDescent="0.35"/>
  <cols>
    <col min="1" max="1" width="53" customWidth="1"/>
    <col min="2" max="2" width="48.36328125" customWidth="1"/>
    <col min="3" max="3" width="16.453125" style="2" customWidth="1"/>
    <col min="4" max="4" width="3.453125" style="2" customWidth="1"/>
    <col min="5" max="5" width="17.453125" style="2" customWidth="1"/>
    <col min="6" max="6" width="3.453125" style="2" customWidth="1"/>
    <col min="7" max="7" width="13.1796875" style="2" customWidth="1"/>
    <col min="8" max="8" width="3.453125" style="2" customWidth="1"/>
    <col min="9" max="9" width="7.81640625" style="2" bestFit="1" customWidth="1"/>
    <col min="10" max="10" width="9.1796875" style="2"/>
  </cols>
  <sheetData>
    <row r="1" spans="1:10" x14ac:dyDescent="0.35">
      <c r="A1" s="2"/>
      <c r="B1" s="2"/>
    </row>
    <row r="2" spans="1:10" x14ac:dyDescent="0.35">
      <c r="A2" s="2"/>
      <c r="B2" s="2"/>
    </row>
    <row r="3" spans="1:10" x14ac:dyDescent="0.35">
      <c r="A3" s="2"/>
      <c r="B3" s="2"/>
    </row>
    <row r="4" spans="1:10" ht="27" customHeight="1" thickBot="1" x14ac:dyDescent="0.55000000000000004">
      <c r="A4" s="76" t="s">
        <v>39</v>
      </c>
      <c r="B4" s="76"/>
    </row>
    <row r="5" spans="1:10" ht="16.5" customHeight="1" thickTop="1" x14ac:dyDescent="0.55000000000000004">
      <c r="A5" s="3"/>
      <c r="B5" s="3"/>
    </row>
    <row r="6" spans="1:10" ht="20.25" customHeight="1" x14ac:dyDescent="0.35">
      <c r="A6" s="42" t="str">
        <f>C6&amp;B6</f>
        <v>Grade:  A Level</v>
      </c>
      <c r="B6" s="42" t="s">
        <v>445</v>
      </c>
      <c r="C6" s="9"/>
    </row>
    <row r="7" spans="1:10" ht="20.25" customHeight="1" x14ac:dyDescent="0.35">
      <c r="A7" s="42" t="s">
        <v>447</v>
      </c>
      <c r="B7" s="42" t="s">
        <v>446</v>
      </c>
    </row>
    <row r="8" spans="1:10" ht="15" customHeight="1" thickBot="1" x14ac:dyDescent="0.4"/>
    <row r="9" spans="1:10" s="7" customFormat="1" ht="21.75" customHeight="1" thickBot="1" x14ac:dyDescent="0.4">
      <c r="A9" s="74" t="s">
        <v>85</v>
      </c>
      <c r="B9" s="75"/>
      <c r="C9" s="6"/>
      <c r="D9" s="6"/>
      <c r="E9" s="6"/>
      <c r="F9" s="6"/>
      <c r="G9" s="6"/>
      <c r="H9" s="6"/>
      <c r="I9" s="6"/>
      <c r="J9" s="6"/>
    </row>
    <row r="10" spans="1:10" ht="126" customHeight="1" thickTop="1" x14ac:dyDescent="0.35">
      <c r="A10" s="77" t="str">
        <f>VLOOKUP('SEC A &amp; B '!$F$130,'Ans-SecA'!B5:C10,2,FALSE)</f>
        <v>Dominant Type:  Conventional
A person with a "Conventional Personality" tends to be careful, conforming, conservative, conscientious, self-controlled, and structured.
Examples of conventional abilities include ordering activities and paying attention to details.</v>
      </c>
      <c r="B10" s="43"/>
    </row>
    <row r="11" spans="1:10" ht="14.25" customHeight="1" thickBot="1" x14ac:dyDescent="0.4">
      <c r="A11" s="78"/>
      <c r="B11" s="44"/>
      <c r="D11" s="9"/>
      <c r="E11" s="10"/>
      <c r="F11" s="9"/>
      <c r="G11" s="10"/>
      <c r="H11" s="9"/>
      <c r="I11" s="10"/>
    </row>
    <row r="12" spans="1:10" ht="15" customHeight="1" thickBot="1" x14ac:dyDescent="0.4">
      <c r="A12" s="4"/>
    </row>
    <row r="13" spans="1:10" s="7" customFormat="1" ht="21.75" customHeight="1" thickBot="1" x14ac:dyDescent="0.4">
      <c r="A13" s="74" t="s">
        <v>86</v>
      </c>
      <c r="B13" s="75"/>
      <c r="C13" s="6"/>
      <c r="D13" s="6"/>
      <c r="E13" s="6"/>
      <c r="F13" s="6"/>
      <c r="G13" s="6"/>
      <c r="H13" s="6"/>
      <c r="I13" s="6"/>
      <c r="J13" s="6"/>
    </row>
    <row r="14" spans="1:10" ht="126" customHeight="1" thickTop="1" x14ac:dyDescent="0.35">
      <c r="A14" s="77" t="str">
        <f>VLOOKUP('SEC C &amp; D'!$I$26,'Ans-SecB'!$A$2:$B$17,2,FALSE)</f>
        <v xml:space="preserve">Dominant Type:  ISFJ
ISFJs are also known as “NURTURERS”. ISFJs tend to be highly observant, stable, and practical. They have excellent memory for details and enjoy creating structure &amp; order. 
Important characteristic:  Ability to create structure and order. </v>
      </c>
      <c r="B14" s="43"/>
    </row>
    <row r="15" spans="1:10" ht="18" customHeight="1" thickBot="1" x14ac:dyDescent="0.4">
      <c r="A15" s="78"/>
      <c r="B15" s="44"/>
      <c r="D15" s="9"/>
      <c r="E15" s="10"/>
      <c r="F15" s="9"/>
      <c r="G15" s="10"/>
      <c r="H15" s="9"/>
      <c r="I15" s="10"/>
    </row>
    <row r="16" spans="1:10" ht="15" customHeight="1" thickBot="1" x14ac:dyDescent="0.4">
      <c r="A16" s="4"/>
      <c r="D16" s="9"/>
      <c r="E16" s="10"/>
      <c r="F16" s="9"/>
      <c r="G16" s="10"/>
      <c r="H16" s="9"/>
      <c r="I16" s="10"/>
    </row>
    <row r="17" spans="1:10" s="7" customFormat="1" ht="21.75" customHeight="1" thickBot="1" x14ac:dyDescent="0.4">
      <c r="A17" s="74" t="s">
        <v>87</v>
      </c>
      <c r="B17" s="75"/>
      <c r="C17" s="6"/>
      <c r="D17" s="9"/>
      <c r="E17" s="10"/>
      <c r="F17" s="9"/>
      <c r="G17" s="10"/>
      <c r="H17" s="6"/>
      <c r="I17" s="6"/>
      <c r="J17" s="6"/>
    </row>
    <row r="18" spans="1:10" ht="159.75" customHeight="1" thickTop="1" x14ac:dyDescent="0.35">
      <c r="A18" s="77" t="str">
        <f>VLOOKUP(SECE!B23,'Ans-SecC'!A2:B17,2,FALSE)</f>
        <v xml:space="preserve">Dominant Type:  M - Manufacturing
The manufacturing career cluster is divided into four pathways. Pathways are grouped by the knowledge and skills required of occupations in these career fields. Learners need a solid background in math, science and technical skills. 
The four pathways are (i) Precision Metal Production, (ii) Precision Technology Processes, (iii) Electromechanical Installation and Maintenance, and (iv) Production Design, Operations and Maintenance. </v>
      </c>
      <c r="B18" s="5"/>
    </row>
    <row r="19" spans="1:10" ht="14.25" customHeight="1" x14ac:dyDescent="0.35">
      <c r="A19" s="82"/>
      <c r="B19" s="5"/>
      <c r="D19" s="9"/>
      <c r="E19" s="10"/>
      <c r="F19" s="9"/>
      <c r="G19" s="10"/>
    </row>
    <row r="20" spans="1:10" ht="14.25" customHeight="1" x14ac:dyDescent="0.35">
      <c r="A20" s="82"/>
      <c r="B20" s="5"/>
      <c r="D20" s="9"/>
      <c r="E20" s="10"/>
      <c r="F20" s="9"/>
      <c r="G20" s="10"/>
    </row>
    <row r="21" spans="1:10" ht="14.25" customHeight="1" x14ac:dyDescent="0.35">
      <c r="A21" s="82"/>
      <c r="B21" s="5"/>
      <c r="D21" s="9"/>
      <c r="E21" s="10"/>
      <c r="F21" s="9"/>
      <c r="G21" s="10"/>
    </row>
    <row r="22" spans="1:10" ht="14.25" customHeight="1" x14ac:dyDescent="0.35">
      <c r="A22" s="82"/>
      <c r="B22" s="5"/>
      <c r="D22" s="9"/>
      <c r="E22" s="10"/>
      <c r="F22" s="9"/>
      <c r="G22" s="10"/>
    </row>
    <row r="23" spans="1:10" ht="14.25" customHeight="1" x14ac:dyDescent="0.35">
      <c r="A23" s="82"/>
      <c r="B23" s="5"/>
      <c r="D23" s="9"/>
      <c r="E23" s="10"/>
      <c r="F23" s="9"/>
      <c r="G23" s="10"/>
    </row>
    <row r="24" spans="1:10" ht="14.25" customHeight="1" x14ac:dyDescent="0.35">
      <c r="A24" s="82"/>
      <c r="B24" s="5"/>
      <c r="D24" s="9"/>
      <c r="E24" s="10"/>
      <c r="F24" s="9"/>
      <c r="G24" s="10"/>
    </row>
    <row r="25" spans="1:10" ht="14.25" customHeight="1" x14ac:dyDescent="0.35">
      <c r="A25" s="82"/>
      <c r="B25" s="5"/>
      <c r="D25" s="9"/>
      <c r="E25" s="10"/>
      <c r="F25" s="9"/>
      <c r="G25" s="10"/>
    </row>
    <row r="26" spans="1:10" ht="14.25" customHeight="1" thickBot="1" x14ac:dyDescent="0.4">
      <c r="A26" s="78"/>
      <c r="B26" s="8"/>
      <c r="D26" s="9"/>
      <c r="E26" s="10"/>
      <c r="F26" s="9"/>
      <c r="G26" s="10"/>
    </row>
    <row r="27" spans="1:10" ht="14.25" customHeight="1" x14ac:dyDescent="0.35"/>
    <row r="28" spans="1:10" ht="14.25" hidden="1" customHeight="1" x14ac:dyDescent="0.35"/>
    <row r="43" spans="4:9" x14ac:dyDescent="0.35">
      <c r="D43" s="9"/>
      <c r="E43" s="10"/>
      <c r="F43" s="9"/>
      <c r="G43" s="10"/>
      <c r="H43" s="9"/>
      <c r="I43" s="10"/>
    </row>
    <row r="44" spans="4:9" x14ac:dyDescent="0.35">
      <c r="D44" s="9"/>
      <c r="E44" s="10"/>
      <c r="F44" s="9"/>
      <c r="G44" s="10"/>
      <c r="H44" s="9"/>
      <c r="I44" s="10"/>
    </row>
    <row r="45" spans="4:9" x14ac:dyDescent="0.35">
      <c r="D45" s="9"/>
      <c r="E45" s="10"/>
      <c r="F45" s="9"/>
      <c r="G45" s="10"/>
      <c r="H45" s="6"/>
      <c r="I45" s="6"/>
    </row>
    <row r="51" spans="1:2" x14ac:dyDescent="0.35">
      <c r="A51" t="s">
        <v>7</v>
      </c>
      <c r="B51">
        <f>'SEC A &amp; B '!B135</f>
        <v>10</v>
      </c>
    </row>
    <row r="52" spans="1:2" x14ac:dyDescent="0.35">
      <c r="A52" t="s">
        <v>4</v>
      </c>
      <c r="B52">
        <f>'SEC A &amp; B '!B134</f>
        <v>6</v>
      </c>
    </row>
    <row r="53" spans="1:2" x14ac:dyDescent="0.35">
      <c r="A53" t="s">
        <v>6</v>
      </c>
      <c r="B53">
        <f>'SEC A &amp; B '!B133</f>
        <v>8</v>
      </c>
    </row>
    <row r="54" spans="1:2" x14ac:dyDescent="0.35">
      <c r="A54" t="s">
        <v>3</v>
      </c>
      <c r="B54">
        <f>'SEC A &amp; B '!B132</f>
        <v>3</v>
      </c>
    </row>
    <row r="55" spans="1:2" x14ac:dyDescent="0.35">
      <c r="A55" t="s">
        <v>5</v>
      </c>
      <c r="B55">
        <f>'SEC A &amp; B '!B131</f>
        <v>6</v>
      </c>
    </row>
    <row r="56" spans="1:2" x14ac:dyDescent="0.35">
      <c r="A56" t="s">
        <v>2</v>
      </c>
      <c r="B56">
        <f>'SEC A &amp; B '!B130</f>
        <v>9</v>
      </c>
    </row>
  </sheetData>
  <mergeCells count="7">
    <mergeCell ref="A18:A26"/>
    <mergeCell ref="A17:B17"/>
    <mergeCell ref="A4:B4"/>
    <mergeCell ref="A9:B9"/>
    <mergeCell ref="A13:B13"/>
    <mergeCell ref="A10:A11"/>
    <mergeCell ref="A14:A15"/>
  </mergeCells>
  <printOptions horizontalCentered="1" verticalCentered="1"/>
  <pageMargins left="0.25" right="0.25" top="0" bottom="0.75" header="0.05" footer="0.3"/>
  <pageSetup paperSize="9" scale="94" orientation="portrait" horizontalDpi="2400" verticalDpi="24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4.9989318521683403E-2"/>
  </sheetPr>
  <dimension ref="B5:P14"/>
  <sheetViews>
    <sheetView zoomScale="85" workbookViewId="0">
      <selection activeCell="B4" sqref="B4"/>
    </sheetView>
  </sheetViews>
  <sheetFormatPr defaultColWidth="9.1796875" defaultRowHeight="13" x14ac:dyDescent="0.3"/>
  <cols>
    <col min="1" max="1" width="9.1796875" style="11"/>
    <col min="2" max="2" width="32.453125" style="11" customWidth="1"/>
    <col min="3" max="3" width="49.453125" style="11" customWidth="1"/>
    <col min="4" max="4" width="9.1796875" style="11"/>
    <col min="5" max="5" width="32.453125" style="11" customWidth="1"/>
    <col min="6" max="7" width="9.1796875" style="11"/>
    <col min="8" max="8" width="32.453125" style="11" customWidth="1"/>
    <col min="9" max="9" width="9.1796875" style="11"/>
    <col min="10" max="10" width="32.453125" style="11" customWidth="1"/>
    <col min="11" max="12" width="9.1796875" style="11"/>
    <col min="13" max="13" width="32.453125" style="11" customWidth="1"/>
    <col min="14" max="15" width="9.1796875" style="11"/>
    <col min="16" max="16" width="32.453125" style="11" customWidth="1"/>
    <col min="17" max="16384" width="9.1796875" style="11"/>
  </cols>
  <sheetData>
    <row r="5" spans="2:16" ht="104" x14ac:dyDescent="0.3">
      <c r="B5" s="11" t="s">
        <v>2</v>
      </c>
      <c r="C5" s="12" t="s">
        <v>88</v>
      </c>
    </row>
    <row r="6" spans="2:16" ht="104" x14ac:dyDescent="0.3">
      <c r="B6" s="12" t="s">
        <v>3</v>
      </c>
      <c r="C6" s="12" t="s">
        <v>89</v>
      </c>
      <c r="D6" s="13"/>
      <c r="E6" s="12"/>
      <c r="F6" s="13"/>
      <c r="G6" s="13"/>
      <c r="H6" s="12"/>
      <c r="J6" s="12"/>
      <c r="K6" s="13"/>
      <c r="L6" s="13"/>
      <c r="M6" s="12"/>
      <c r="N6" s="13"/>
      <c r="O6" s="13"/>
      <c r="P6" s="12"/>
    </row>
    <row r="7" spans="2:16" ht="104" x14ac:dyDescent="0.3">
      <c r="B7" s="14" t="s">
        <v>4</v>
      </c>
      <c r="C7" s="12" t="s">
        <v>90</v>
      </c>
      <c r="J7" s="14"/>
    </row>
    <row r="8" spans="2:16" ht="91" x14ac:dyDescent="0.3">
      <c r="B8" s="14" t="s">
        <v>5</v>
      </c>
      <c r="C8" s="12" t="s">
        <v>56</v>
      </c>
      <c r="J8" s="14"/>
    </row>
    <row r="9" spans="2:16" ht="91" x14ac:dyDescent="0.3">
      <c r="B9" s="14" t="s">
        <v>6</v>
      </c>
      <c r="C9" s="12" t="s">
        <v>40</v>
      </c>
      <c r="J9" s="14"/>
    </row>
    <row r="10" spans="2:16" ht="104" x14ac:dyDescent="0.3">
      <c r="B10" s="12" t="s">
        <v>7</v>
      </c>
      <c r="C10" s="12" t="s">
        <v>57</v>
      </c>
      <c r="D10" s="13"/>
      <c r="E10" s="12"/>
      <c r="F10" s="13"/>
      <c r="G10" s="13"/>
      <c r="H10" s="12"/>
      <c r="J10" s="12"/>
      <c r="K10" s="13"/>
      <c r="L10" s="13"/>
      <c r="M10" s="12"/>
      <c r="N10" s="13"/>
      <c r="O10" s="13"/>
      <c r="P10" s="12"/>
    </row>
    <row r="11" spans="2:16" x14ac:dyDescent="0.3">
      <c r="B11" s="14"/>
    </row>
    <row r="12" spans="2:16" x14ac:dyDescent="0.3">
      <c r="B12" s="14"/>
    </row>
    <row r="13" spans="2:16" x14ac:dyDescent="0.3">
      <c r="B13" s="14"/>
    </row>
    <row r="14" spans="2:16" x14ac:dyDescent="0.3">
      <c r="B14"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4.9989318521683403E-2"/>
  </sheetPr>
  <dimension ref="A2:O17"/>
  <sheetViews>
    <sheetView topLeftCell="A8" zoomScale="125" zoomScaleNormal="100" workbookViewId="0">
      <selection activeCell="C5" sqref="C5"/>
    </sheetView>
  </sheetViews>
  <sheetFormatPr defaultColWidth="9.1796875" defaultRowHeight="13" x14ac:dyDescent="0.3"/>
  <cols>
    <col min="1" max="1" width="9.1796875" style="11"/>
    <col min="2" max="2" width="57.453125" style="11" customWidth="1"/>
    <col min="3" max="7" width="9.1796875" style="11"/>
    <col min="8" max="8" width="1.453125" style="11" customWidth="1"/>
    <col min="9" max="9" width="32.453125" style="11" customWidth="1"/>
    <col min="10" max="10" width="9.1796875" style="11"/>
    <col min="11" max="11" width="32.453125" style="11" customWidth="1"/>
    <col min="12" max="12" width="9.1796875" style="11"/>
    <col min="13" max="13" width="32.453125" style="11" customWidth="1"/>
    <col min="14" max="14" width="9.1796875" style="11"/>
    <col min="15" max="15" width="32.453125" style="11" customWidth="1"/>
    <col min="16" max="16384" width="9.1796875" style="11"/>
  </cols>
  <sheetData>
    <row r="2" spans="1:15" ht="104" x14ac:dyDescent="0.3">
      <c r="A2" s="46" t="s">
        <v>115</v>
      </c>
      <c r="B2" s="12" t="s">
        <v>91</v>
      </c>
      <c r="I2" s="12"/>
      <c r="J2" s="13"/>
      <c r="K2" s="12"/>
      <c r="L2" s="13"/>
      <c r="M2" s="12"/>
      <c r="O2" s="12"/>
    </row>
    <row r="3" spans="1:15" ht="104" x14ac:dyDescent="0.3">
      <c r="A3" s="46" t="s">
        <v>116</v>
      </c>
      <c r="B3" s="12" t="s">
        <v>92</v>
      </c>
      <c r="I3" s="12"/>
      <c r="J3" s="13"/>
      <c r="K3" s="12"/>
      <c r="L3" s="13"/>
      <c r="M3" s="12"/>
      <c r="O3" s="12"/>
    </row>
    <row r="4" spans="1:15" ht="91" x14ac:dyDescent="0.3">
      <c r="A4" s="46" t="s">
        <v>117</v>
      </c>
      <c r="B4" s="12" t="s">
        <v>93</v>
      </c>
      <c r="I4" s="12"/>
      <c r="J4" s="13"/>
      <c r="K4" s="23"/>
      <c r="L4" s="13"/>
      <c r="M4" s="12"/>
      <c r="O4" s="12"/>
    </row>
    <row r="5" spans="1:15" ht="91" x14ac:dyDescent="0.3">
      <c r="A5" s="46" t="s">
        <v>118</v>
      </c>
      <c r="B5" s="12" t="s">
        <v>94</v>
      </c>
      <c r="I5" s="12"/>
      <c r="J5" s="13"/>
      <c r="K5" s="12"/>
      <c r="L5" s="13"/>
      <c r="M5" s="12"/>
      <c r="O5" s="12"/>
    </row>
    <row r="6" spans="1:15" ht="117" x14ac:dyDescent="0.3">
      <c r="A6" s="46" t="s">
        <v>119</v>
      </c>
      <c r="B6" s="12" t="s">
        <v>59</v>
      </c>
    </row>
    <row r="7" spans="1:15" ht="104" x14ac:dyDescent="0.3">
      <c r="A7" s="46" t="s">
        <v>120</v>
      </c>
      <c r="B7" s="12" t="s">
        <v>95</v>
      </c>
      <c r="I7" s="14"/>
    </row>
    <row r="8" spans="1:15" ht="91" x14ac:dyDescent="0.3">
      <c r="A8" s="46" t="s">
        <v>121</v>
      </c>
      <c r="B8" s="12" t="s">
        <v>96</v>
      </c>
      <c r="I8" s="14"/>
    </row>
    <row r="9" spans="1:15" ht="117" x14ac:dyDescent="0.3">
      <c r="A9" s="46" t="s">
        <v>122</v>
      </c>
      <c r="B9" s="12" t="s">
        <v>58</v>
      </c>
    </row>
    <row r="10" spans="1:15" ht="130" x14ac:dyDescent="0.3">
      <c r="A10" s="46" t="s">
        <v>123</v>
      </c>
      <c r="B10" s="12" t="s">
        <v>60</v>
      </c>
    </row>
    <row r="11" spans="1:15" ht="117" x14ac:dyDescent="0.3">
      <c r="A11" s="46" t="s">
        <v>124</v>
      </c>
      <c r="B11" s="23" t="s">
        <v>61</v>
      </c>
    </row>
    <row r="12" spans="1:15" ht="91" x14ac:dyDescent="0.3">
      <c r="A12" s="46" t="s">
        <v>125</v>
      </c>
      <c r="B12" s="12" t="s">
        <v>97</v>
      </c>
    </row>
    <row r="13" spans="1:15" ht="104" x14ac:dyDescent="0.3">
      <c r="A13" s="46" t="s">
        <v>126</v>
      </c>
      <c r="B13" s="12" t="s">
        <v>62</v>
      </c>
    </row>
    <row r="14" spans="1:15" ht="104" x14ac:dyDescent="0.3">
      <c r="A14" s="46" t="s">
        <v>127</v>
      </c>
      <c r="B14" s="12" t="s">
        <v>98</v>
      </c>
    </row>
    <row r="15" spans="1:15" ht="91" x14ac:dyDescent="0.3">
      <c r="A15" s="46" t="s">
        <v>128</v>
      </c>
      <c r="B15" s="12" t="s">
        <v>63</v>
      </c>
    </row>
    <row r="16" spans="1:15" ht="130" x14ac:dyDescent="0.3">
      <c r="A16" s="46" t="s">
        <v>129</v>
      </c>
      <c r="B16" s="12" t="s">
        <v>55</v>
      </c>
    </row>
    <row r="17" spans="1:2" ht="104" x14ac:dyDescent="0.3">
      <c r="A17" s="46" t="s">
        <v>130</v>
      </c>
      <c r="B17" s="12" t="s">
        <v>99</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4.9989318521683403E-2"/>
  </sheetPr>
  <dimension ref="A2:S17"/>
  <sheetViews>
    <sheetView zoomScaleNormal="100" workbookViewId="0">
      <selection activeCell="B18" sqref="B18"/>
    </sheetView>
  </sheetViews>
  <sheetFormatPr defaultColWidth="9.1796875" defaultRowHeight="13" x14ac:dyDescent="0.3"/>
  <cols>
    <col min="1" max="1" width="12.81640625" style="46" customWidth="1"/>
    <col min="2" max="2" width="78.36328125" style="11" customWidth="1"/>
    <col min="3" max="3" width="9.1796875" style="11"/>
    <col min="4" max="4" width="32.453125" style="11" customWidth="1"/>
    <col min="5" max="5" width="9.1796875" style="11"/>
    <col min="6" max="6" width="32.453125" style="11" customWidth="1"/>
    <col min="7" max="7" width="9.1796875" style="11"/>
    <col min="8" max="8" width="32.453125" style="11" customWidth="1"/>
    <col min="9" max="10" width="9.1796875" style="11"/>
    <col min="11" max="11" width="9.1796875" style="11" customWidth="1"/>
    <col min="12" max="12" width="9.1796875" style="11"/>
    <col min="13" max="13" width="36.1796875" style="11" bestFit="1" customWidth="1"/>
    <col min="14" max="14" width="9.1796875" style="11"/>
    <col min="15" max="15" width="35.453125" style="11" bestFit="1" customWidth="1"/>
    <col min="16" max="16" width="9.1796875" style="11"/>
    <col min="17" max="17" width="36.1796875" style="11" bestFit="1" customWidth="1"/>
    <col min="18" max="18" width="9.1796875" style="11"/>
    <col min="19" max="19" width="36.1796875" style="11" bestFit="1" customWidth="1"/>
    <col min="20" max="16384" width="9.1796875" style="11"/>
  </cols>
  <sheetData>
    <row r="2" spans="1:19" ht="117" x14ac:dyDescent="0.3">
      <c r="A2" s="46" t="s">
        <v>3</v>
      </c>
      <c r="B2" s="12" t="s">
        <v>132</v>
      </c>
      <c r="M2" s="12"/>
      <c r="N2" s="13"/>
      <c r="O2" s="12"/>
      <c r="P2" s="13"/>
      <c r="Q2" s="12"/>
      <c r="S2" s="12"/>
    </row>
    <row r="3" spans="1:19" ht="104" x14ac:dyDescent="0.3">
      <c r="A3" s="46" t="s">
        <v>7</v>
      </c>
      <c r="B3" s="12" t="s">
        <v>106</v>
      </c>
      <c r="M3" s="14"/>
    </row>
    <row r="4" spans="1:19" ht="117" x14ac:dyDescent="0.3">
      <c r="A4" s="46" t="s">
        <v>32</v>
      </c>
      <c r="B4" s="12" t="s">
        <v>102</v>
      </c>
      <c r="M4" s="14"/>
    </row>
    <row r="5" spans="1:19" ht="117" x14ac:dyDescent="0.3">
      <c r="A5" s="46" t="s">
        <v>33</v>
      </c>
      <c r="B5" s="12" t="s">
        <v>107</v>
      </c>
      <c r="M5" s="12"/>
      <c r="N5" s="13"/>
      <c r="O5" s="12"/>
      <c r="P5" s="13"/>
      <c r="Q5" s="12"/>
      <c r="S5" s="12"/>
    </row>
    <row r="6" spans="1:19" ht="104" x14ac:dyDescent="0.3">
      <c r="A6" s="46" t="s">
        <v>4</v>
      </c>
      <c r="B6" s="12" t="s">
        <v>108</v>
      </c>
      <c r="M6" s="14"/>
    </row>
    <row r="7" spans="1:19" ht="104" x14ac:dyDescent="0.3">
      <c r="A7" s="46" t="s">
        <v>34</v>
      </c>
      <c r="B7" s="12" t="s">
        <v>109</v>
      </c>
      <c r="M7" s="14"/>
    </row>
    <row r="8" spans="1:19" ht="104" x14ac:dyDescent="0.3">
      <c r="A8" s="46" t="s">
        <v>10</v>
      </c>
      <c r="B8" s="12" t="s">
        <v>110</v>
      </c>
      <c r="M8" s="12"/>
      <c r="N8" s="13"/>
      <c r="O8" s="12"/>
      <c r="P8" s="13"/>
      <c r="Q8" s="12"/>
      <c r="S8" s="12"/>
    </row>
    <row r="9" spans="1:19" ht="91" x14ac:dyDescent="0.3">
      <c r="A9" s="46" t="s">
        <v>37</v>
      </c>
      <c r="B9" s="12" t="s">
        <v>100</v>
      </c>
      <c r="M9" s="14"/>
    </row>
    <row r="10" spans="1:19" ht="104" x14ac:dyDescent="0.3">
      <c r="A10" s="46" t="s">
        <v>35</v>
      </c>
      <c r="B10" s="12" t="s">
        <v>112</v>
      </c>
      <c r="M10" s="14"/>
    </row>
    <row r="11" spans="1:19" ht="104" x14ac:dyDescent="0.3">
      <c r="A11" s="46" t="s">
        <v>9</v>
      </c>
      <c r="B11" s="12" t="s">
        <v>103</v>
      </c>
      <c r="M11" s="12"/>
      <c r="N11" s="13"/>
      <c r="O11" s="12"/>
      <c r="P11" s="13"/>
      <c r="Q11" s="12"/>
      <c r="S11" s="12"/>
    </row>
    <row r="12" spans="1:19" ht="130" x14ac:dyDescent="0.3">
      <c r="A12" s="46" t="s">
        <v>6</v>
      </c>
      <c r="B12" s="12" t="s">
        <v>54</v>
      </c>
    </row>
    <row r="13" spans="1:19" ht="104" x14ac:dyDescent="0.3">
      <c r="A13" s="46" t="s">
        <v>5</v>
      </c>
      <c r="B13" s="12" t="s">
        <v>104</v>
      </c>
    </row>
    <row r="14" spans="1:19" ht="104" x14ac:dyDescent="0.3">
      <c r="A14" s="46" t="s">
        <v>16</v>
      </c>
      <c r="B14" s="12" t="s">
        <v>105</v>
      </c>
    </row>
    <row r="15" spans="1:19" ht="104" x14ac:dyDescent="0.3">
      <c r="A15" s="46" t="s">
        <v>36</v>
      </c>
      <c r="B15" s="12" t="s">
        <v>111</v>
      </c>
    </row>
    <row r="16" spans="1:19" ht="117" x14ac:dyDescent="0.3">
      <c r="A16" s="46" t="s">
        <v>101</v>
      </c>
      <c r="B16" s="12" t="s">
        <v>113</v>
      </c>
    </row>
    <row r="17" spans="1:2" ht="130" x14ac:dyDescent="0.3">
      <c r="A17" s="46" t="s">
        <v>38</v>
      </c>
      <c r="B17" s="12" t="s">
        <v>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sheetPr>
  <dimension ref="A1:H32"/>
  <sheetViews>
    <sheetView zoomScale="88" zoomScaleSheetLayoutView="130" zoomScalePageLayoutView="115" workbookViewId="0">
      <selection activeCell="E9" sqref="E9"/>
    </sheetView>
  </sheetViews>
  <sheetFormatPr defaultColWidth="9.1796875" defaultRowHeight="14.5" x14ac:dyDescent="0.35"/>
  <cols>
    <col min="1" max="1" width="9.1796875" style="2"/>
    <col min="2" max="2" width="14.6328125" style="2" customWidth="1"/>
    <col min="3" max="4" width="9.1796875" style="2"/>
    <col min="5" max="5" width="14.6328125" style="2" customWidth="1"/>
    <col min="6" max="7" width="9.1796875" style="2"/>
    <col min="8" max="8" width="14.6328125" style="2" customWidth="1"/>
    <col min="9" max="16384" width="9.1796875" style="2"/>
  </cols>
  <sheetData>
    <row r="1" spans="1:8" ht="11.25" customHeight="1" x14ac:dyDescent="0.35"/>
    <row r="2" spans="1:8" ht="19.5" customHeight="1" x14ac:dyDescent="0.5">
      <c r="A2" s="79" t="s">
        <v>41</v>
      </c>
      <c r="B2" s="79"/>
      <c r="C2" s="79"/>
      <c r="D2" s="79"/>
      <c r="E2" s="79"/>
      <c r="F2" s="79"/>
      <c r="G2" s="79"/>
      <c r="H2" s="79"/>
    </row>
    <row r="3" spans="1:8" ht="19.5" customHeight="1" x14ac:dyDescent="0.5">
      <c r="A3" s="20"/>
      <c r="B3" s="20"/>
      <c r="C3" s="20"/>
      <c r="D3" s="20"/>
      <c r="E3" s="20"/>
      <c r="F3" s="20"/>
      <c r="G3" s="20"/>
      <c r="H3" s="20"/>
    </row>
    <row r="4" spans="1:8" ht="21" x14ac:dyDescent="0.5">
      <c r="A4" s="21" t="s">
        <v>49</v>
      </c>
      <c r="B4" s="20" t="s">
        <v>53</v>
      </c>
      <c r="C4" s="20"/>
      <c r="D4" s="20"/>
      <c r="E4" s="21" t="s">
        <v>51</v>
      </c>
      <c r="F4" s="20" t="s">
        <v>53</v>
      </c>
      <c r="G4" s="20"/>
      <c r="H4" s="20"/>
    </row>
    <row r="5" spans="1:8" ht="32.25" customHeight="1" x14ac:dyDescent="0.5">
      <c r="A5" s="22" t="s">
        <v>50</v>
      </c>
      <c r="B5" s="20" t="s">
        <v>53</v>
      </c>
      <c r="E5" s="21" t="s">
        <v>52</v>
      </c>
      <c r="F5" s="20" t="s">
        <v>53</v>
      </c>
    </row>
    <row r="7" spans="1:8" ht="24" customHeight="1" x14ac:dyDescent="0.35">
      <c r="A7" s="80" t="s">
        <v>42</v>
      </c>
      <c r="B7" s="81"/>
      <c r="D7" s="80" t="s">
        <v>45</v>
      </c>
      <c r="E7" s="81"/>
      <c r="G7" s="80" t="s">
        <v>46</v>
      </c>
      <c r="H7" s="81"/>
    </row>
    <row r="8" spans="1:8" ht="31.5" customHeight="1" x14ac:dyDescent="0.35">
      <c r="A8" s="17" t="s">
        <v>43</v>
      </c>
      <c r="B8" s="18" t="s">
        <v>44</v>
      </c>
      <c r="C8" s="19"/>
      <c r="D8" s="17" t="s">
        <v>43</v>
      </c>
      <c r="E8" s="18" t="s">
        <v>44</v>
      </c>
      <c r="F8" s="19"/>
      <c r="G8" s="17" t="s">
        <v>47</v>
      </c>
      <c r="H8" s="18" t="s">
        <v>48</v>
      </c>
    </row>
    <row r="9" spans="1:8" ht="24" customHeight="1" x14ac:dyDescent="0.35">
      <c r="A9" s="16">
        <v>1</v>
      </c>
      <c r="B9" s="16"/>
      <c r="D9" s="16">
        <v>1</v>
      </c>
      <c r="E9" s="16"/>
      <c r="G9" s="16">
        <v>1</v>
      </c>
      <c r="H9" s="16"/>
    </row>
    <row r="10" spans="1:8" ht="24" customHeight="1" x14ac:dyDescent="0.35">
      <c r="A10" s="16">
        <v>2</v>
      </c>
      <c r="B10" s="16"/>
      <c r="D10" s="16">
        <v>2</v>
      </c>
      <c r="E10" s="16"/>
      <c r="G10" s="16">
        <v>2</v>
      </c>
      <c r="H10" s="16"/>
    </row>
    <row r="11" spans="1:8" ht="24" customHeight="1" x14ac:dyDescent="0.35">
      <c r="A11" s="16">
        <v>3</v>
      </c>
      <c r="B11" s="16"/>
      <c r="D11" s="16">
        <v>3</v>
      </c>
      <c r="E11" s="16"/>
      <c r="G11" s="16">
        <v>3</v>
      </c>
      <c r="H11" s="16"/>
    </row>
    <row r="12" spans="1:8" ht="24" customHeight="1" x14ac:dyDescent="0.35">
      <c r="A12" s="16">
        <v>4</v>
      </c>
      <c r="B12" s="16"/>
      <c r="D12" s="16">
        <v>4</v>
      </c>
      <c r="E12" s="16"/>
      <c r="G12" s="16">
        <v>4</v>
      </c>
      <c r="H12" s="16"/>
    </row>
    <row r="13" spans="1:8" ht="24" customHeight="1" x14ac:dyDescent="0.35">
      <c r="A13" s="16">
        <v>5</v>
      </c>
      <c r="B13" s="16"/>
      <c r="D13" s="16">
        <v>5</v>
      </c>
      <c r="E13" s="16"/>
      <c r="G13" s="16">
        <v>5</v>
      </c>
      <c r="H13" s="16"/>
    </row>
    <row r="14" spans="1:8" ht="24" customHeight="1" x14ac:dyDescent="0.35">
      <c r="A14" s="16">
        <v>6</v>
      </c>
      <c r="B14" s="16"/>
      <c r="D14" s="16">
        <v>6</v>
      </c>
      <c r="E14" s="16"/>
      <c r="G14" s="16">
        <v>6</v>
      </c>
      <c r="H14" s="16"/>
    </row>
    <row r="15" spans="1:8" ht="24" customHeight="1" x14ac:dyDescent="0.35">
      <c r="A15" s="16">
        <v>7</v>
      </c>
      <c r="B15" s="16"/>
      <c r="D15" s="16">
        <v>7</v>
      </c>
      <c r="E15" s="16"/>
      <c r="G15" s="16">
        <v>7</v>
      </c>
      <c r="H15" s="16"/>
    </row>
    <row r="16" spans="1:8" ht="24" customHeight="1" x14ac:dyDescent="0.35">
      <c r="A16" s="16">
        <v>8</v>
      </c>
      <c r="B16" s="16"/>
      <c r="D16" s="16">
        <v>8</v>
      </c>
      <c r="E16" s="16"/>
      <c r="G16" s="16">
        <v>8</v>
      </c>
      <c r="H16" s="16"/>
    </row>
    <row r="17" spans="1:8" ht="24" customHeight="1" x14ac:dyDescent="0.35">
      <c r="A17" s="16">
        <v>9</v>
      </c>
      <c r="B17" s="16"/>
      <c r="D17" s="16">
        <v>9</v>
      </c>
      <c r="E17" s="16"/>
      <c r="G17" s="16">
        <v>9</v>
      </c>
      <c r="H17" s="16"/>
    </row>
    <row r="18" spans="1:8" ht="24" customHeight="1" x14ac:dyDescent="0.35">
      <c r="A18" s="16">
        <v>10</v>
      </c>
      <c r="B18" s="16"/>
      <c r="D18" s="16">
        <v>10</v>
      </c>
      <c r="E18" s="16"/>
      <c r="G18" s="16">
        <v>10</v>
      </c>
      <c r="H18" s="16"/>
    </row>
    <row r="19" spans="1:8" ht="24" customHeight="1" x14ac:dyDescent="0.35">
      <c r="A19" s="16">
        <v>11</v>
      </c>
      <c r="B19" s="16"/>
      <c r="D19" s="16">
        <v>11</v>
      </c>
      <c r="E19" s="16"/>
      <c r="G19" s="16">
        <v>11</v>
      </c>
      <c r="H19" s="16"/>
    </row>
    <row r="20" spans="1:8" ht="24" customHeight="1" x14ac:dyDescent="0.35">
      <c r="A20" s="16">
        <v>12</v>
      </c>
      <c r="B20" s="16"/>
      <c r="D20" s="16">
        <v>12</v>
      </c>
      <c r="E20" s="16"/>
      <c r="G20" s="16">
        <v>12</v>
      </c>
      <c r="H20" s="16"/>
    </row>
    <row r="21" spans="1:8" ht="24" customHeight="1" x14ac:dyDescent="0.35">
      <c r="A21" s="16">
        <v>13</v>
      </c>
      <c r="B21" s="16"/>
      <c r="D21" s="16">
        <v>13</v>
      </c>
      <c r="E21" s="16"/>
      <c r="G21" s="16">
        <v>13</v>
      </c>
      <c r="H21" s="16"/>
    </row>
    <row r="22" spans="1:8" ht="24" customHeight="1" x14ac:dyDescent="0.35">
      <c r="A22" s="16">
        <v>14</v>
      </c>
      <c r="B22" s="16"/>
      <c r="D22" s="16">
        <v>14</v>
      </c>
      <c r="E22" s="16"/>
      <c r="G22" s="16">
        <v>14</v>
      </c>
      <c r="H22" s="16"/>
    </row>
    <row r="23" spans="1:8" ht="24" customHeight="1" x14ac:dyDescent="0.35">
      <c r="A23" s="16">
        <v>15</v>
      </c>
      <c r="B23" s="16"/>
      <c r="D23" s="16">
        <v>15</v>
      </c>
      <c r="E23" s="16"/>
      <c r="G23" s="16">
        <v>15</v>
      </c>
      <c r="H23" s="16"/>
    </row>
    <row r="24" spans="1:8" ht="24" customHeight="1" x14ac:dyDescent="0.35">
      <c r="A24" s="16">
        <v>16</v>
      </c>
      <c r="B24" s="16"/>
      <c r="D24" s="16">
        <v>16</v>
      </c>
      <c r="E24" s="16"/>
      <c r="G24" s="16">
        <v>16</v>
      </c>
      <c r="H24" s="16"/>
    </row>
    <row r="25" spans="1:8" ht="24" customHeight="1" x14ac:dyDescent="0.35">
      <c r="A25" s="16">
        <v>17</v>
      </c>
      <c r="B25" s="16"/>
      <c r="D25" s="16">
        <v>17</v>
      </c>
      <c r="E25" s="16"/>
      <c r="G25" s="16"/>
      <c r="H25" s="16"/>
    </row>
    <row r="26" spans="1:8" ht="24" customHeight="1" x14ac:dyDescent="0.35">
      <c r="A26" s="16">
        <v>18</v>
      </c>
      <c r="B26" s="16"/>
      <c r="D26" s="16"/>
      <c r="E26" s="16"/>
      <c r="G26" s="16"/>
      <c r="H26" s="16"/>
    </row>
    <row r="27" spans="1:8" ht="24" customHeight="1" x14ac:dyDescent="0.35">
      <c r="A27" s="16">
        <v>19</v>
      </c>
      <c r="B27" s="16"/>
      <c r="D27" s="16"/>
      <c r="E27" s="16"/>
      <c r="G27" s="16"/>
      <c r="H27" s="16"/>
    </row>
    <row r="28" spans="1:8" ht="24" customHeight="1" x14ac:dyDescent="0.35">
      <c r="A28" s="16">
        <v>20</v>
      </c>
      <c r="B28" s="16"/>
      <c r="D28" s="16"/>
      <c r="E28" s="16"/>
      <c r="G28" s="16"/>
      <c r="H28" s="16"/>
    </row>
    <row r="29" spans="1:8" ht="24" customHeight="1" x14ac:dyDescent="0.35">
      <c r="A29" s="16">
        <v>21</v>
      </c>
      <c r="B29" s="16"/>
      <c r="D29" s="16"/>
      <c r="E29" s="16"/>
      <c r="G29" s="16"/>
      <c r="H29" s="16"/>
    </row>
    <row r="30" spans="1:8" ht="24" customHeight="1" x14ac:dyDescent="0.35">
      <c r="A30" s="16">
        <v>22</v>
      </c>
      <c r="B30" s="16"/>
      <c r="D30" s="16"/>
      <c r="E30" s="16"/>
      <c r="G30" s="16"/>
      <c r="H30" s="16"/>
    </row>
    <row r="31" spans="1:8" ht="24" customHeight="1" x14ac:dyDescent="0.35">
      <c r="A31" s="16">
        <v>23</v>
      </c>
      <c r="B31" s="16"/>
      <c r="D31" s="16"/>
      <c r="E31" s="16"/>
      <c r="G31" s="16"/>
      <c r="H31" s="16"/>
    </row>
    <row r="32" spans="1:8" ht="24" customHeight="1" x14ac:dyDescent="0.35">
      <c r="A32" s="16">
        <v>24</v>
      </c>
      <c r="B32" s="16"/>
      <c r="D32" s="16"/>
      <c r="E32" s="16"/>
      <c r="G32" s="16"/>
      <c r="H32" s="16"/>
    </row>
  </sheetData>
  <mergeCells count="4">
    <mergeCell ref="A2:H2"/>
    <mergeCell ref="A7:B7"/>
    <mergeCell ref="D7:E7"/>
    <mergeCell ref="G7:H7"/>
  </mergeCells>
  <printOptions horizontalCentered="1"/>
  <pageMargins left="0.28999999999999998" right="0.33" top="0.85" bottom="0.75" header="0.3" footer="0.3"/>
  <pageSetup paperSize="9" orientation="portrait" horizontalDpi="2400" verticalDpi="2400" r:id="rId1"/>
  <headerFooter>
    <oddHeader>&amp;R&amp;G</oddHeader>
    <oddFooter>&amp;L&amp;"-,Italic"A product of "Reveal - Unleashing Potential"&amp;R&amp;P</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vt:lpstr>
      <vt:lpstr>SEC A &amp; B </vt:lpstr>
      <vt:lpstr>SEC C &amp; D</vt:lpstr>
      <vt:lpstr>SECE</vt:lpstr>
      <vt:lpstr>Report</vt:lpstr>
      <vt:lpstr>Ans-SecA</vt:lpstr>
      <vt:lpstr>Ans-SecB</vt:lpstr>
      <vt:lpstr>Ans-SecC</vt:lpstr>
      <vt:lpstr>Answer Sheet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2026-01-01T21:32:00Z</dcterms:modified>
</cp:coreProperties>
</file>