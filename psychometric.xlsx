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drawings/drawing3.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filterPrivacy="1" defaultThemeVersion="124226"/>
  <xr:revisionPtr revIDLastSave="0" documentId="13_ncr:1_{4C05DB23-AF4C-490B-84C1-DADBD6411BC3}" xr6:coauthVersionLast="47" xr6:coauthVersionMax="47" xr10:uidLastSave="{00000000-0000-0000-0000-000000000000}"/>
  <bookViews>
    <workbookView xWindow="-110" yWindow="-110" windowWidth="19420" windowHeight="10420" firstSheet="1" activeTab="4" xr2:uid="{00000000-000D-0000-FFFF-FFFF00000000}"/>
  </bookViews>
  <sheets>
    <sheet name="Dashboard" sheetId="10" r:id="rId1"/>
    <sheet name="SEC A &amp; B " sheetId="1" r:id="rId2"/>
    <sheet name="SEC C &amp; D" sheetId="2" r:id="rId3"/>
    <sheet name="SECE" sheetId="3" r:id="rId4"/>
    <sheet name="Report" sheetId="4" r:id="rId5"/>
    <sheet name="Ans-SecA" sheetId="5" r:id="rId6"/>
    <sheet name="Ans-SecB" sheetId="7" r:id="rId7"/>
    <sheet name="Ans-SecC" sheetId="8" r:id="rId8"/>
    <sheet name="Answer Sheet" sheetId="9" r:id="rId9"/>
  </sheets>
  <definedNames>
    <definedName name="_xlnm.Print_Area" localSheetId="8">'Answer Sheet'!#REF!</definedName>
    <definedName name="_xlnm.Print_Area" localSheetId="4">Report!$A$1:$B$28</definedName>
  </definedNames>
  <calcPr calcId="191029"/>
</workbook>
</file>

<file path=xl/calcChain.xml><?xml version="1.0" encoding="utf-8"?>
<calcChain xmlns="http://schemas.openxmlformats.org/spreadsheetml/2006/main">
  <c r="A6" i="4" l="1"/>
  <c r="B8" i="3"/>
  <c r="B17" i="3"/>
  <c r="B13" i="3"/>
  <c r="B12" i="3"/>
  <c r="B10" i="3"/>
  <c r="B19" i="3" l="1"/>
  <c r="B15" i="3"/>
  <c r="B11" i="3"/>
  <c r="B9" i="3"/>
  <c r="B6" i="3"/>
  <c r="B5" i="3"/>
  <c r="L110" i="2" l="1"/>
  <c r="L109" i="2"/>
  <c r="L108" i="2"/>
  <c r="L107" i="2"/>
  <c r="I110" i="2"/>
  <c r="I109" i="2"/>
  <c r="I108" i="2"/>
  <c r="I107" i="2"/>
  <c r="F110" i="2"/>
  <c r="F109" i="2"/>
  <c r="F108" i="2"/>
  <c r="F107" i="2"/>
  <c r="C110" i="2"/>
  <c r="C109" i="2"/>
  <c r="C108" i="2"/>
  <c r="C107" i="2" l="1"/>
  <c r="D105" i="1"/>
  <c r="B4" i="3"/>
  <c r="M109" i="2" l="1"/>
  <c r="M108" i="2"/>
  <c r="M107" i="2"/>
  <c r="J110" i="2"/>
  <c r="J109" i="2"/>
  <c r="J108" i="2"/>
  <c r="J107" i="2"/>
  <c r="G110" i="2"/>
  <c r="G108" i="2"/>
  <c r="G107" i="2"/>
  <c r="D110" i="2"/>
  <c r="D109" i="2"/>
  <c r="D108" i="2"/>
  <c r="D107" i="2"/>
  <c r="M110" i="2"/>
  <c r="G109" i="2"/>
  <c r="C101" i="2"/>
  <c r="D101" i="2" s="1"/>
  <c r="L101" i="2"/>
  <c r="M101" i="2" s="1"/>
  <c r="I91" i="2"/>
  <c r="J91" i="2" s="1"/>
  <c r="C92" i="2"/>
  <c r="D92" i="2" s="1"/>
  <c r="I101" i="2"/>
  <c r="J101" i="2" s="1"/>
  <c r="F101" i="2"/>
  <c r="G101" i="2" s="1"/>
  <c r="L100" i="2"/>
  <c r="M100" i="2" s="1"/>
  <c r="I100" i="2"/>
  <c r="J100" i="2" s="1"/>
  <c r="F100" i="2"/>
  <c r="G100" i="2" s="1"/>
  <c r="C100" i="2"/>
  <c r="D100" i="2" s="1"/>
  <c r="L99" i="2"/>
  <c r="M99" i="2" s="1"/>
  <c r="I99" i="2"/>
  <c r="J99" i="2" s="1"/>
  <c r="F99" i="2"/>
  <c r="G99" i="2" s="1"/>
  <c r="C99" i="2"/>
  <c r="D99" i="2" s="1"/>
  <c r="L98" i="2"/>
  <c r="M98" i="2" s="1"/>
  <c r="I98" i="2"/>
  <c r="J98" i="2" s="1"/>
  <c r="F98" i="2"/>
  <c r="C98" i="2"/>
  <c r="D98" i="2" s="1"/>
  <c r="L97" i="2"/>
  <c r="M97" i="2" s="1"/>
  <c r="I97" i="2"/>
  <c r="J97" i="2" s="1"/>
  <c r="F97" i="2"/>
  <c r="G97" i="2" s="1"/>
  <c r="C97" i="2"/>
  <c r="D97" i="2" s="1"/>
  <c r="L96" i="2"/>
  <c r="M96" i="2" s="1"/>
  <c r="I96" i="2"/>
  <c r="J96" i="2" s="1"/>
  <c r="F96" i="2"/>
  <c r="G96" i="2" s="1"/>
  <c r="C96" i="2"/>
  <c r="D96" i="2" s="1"/>
  <c r="L95" i="2"/>
  <c r="M95" i="2" s="1"/>
  <c r="I95" i="2"/>
  <c r="J95" i="2" s="1"/>
  <c r="F95" i="2"/>
  <c r="G95" i="2" s="1"/>
  <c r="C95" i="2"/>
  <c r="D95" i="2" s="1"/>
  <c r="L94" i="2"/>
  <c r="M94" i="2" s="1"/>
  <c r="I94" i="2"/>
  <c r="J94" i="2" s="1"/>
  <c r="F94" i="2"/>
  <c r="G94" i="2" s="1"/>
  <c r="C94" i="2"/>
  <c r="D94" i="2" s="1"/>
  <c r="L93" i="2"/>
  <c r="M93" i="2" s="1"/>
  <c r="C93" i="2"/>
  <c r="D93" i="2" s="1"/>
  <c r="I93" i="2"/>
  <c r="J93" i="2" s="1"/>
  <c r="F93" i="2"/>
  <c r="G93" i="2" s="1"/>
  <c r="L92" i="2"/>
  <c r="M92" i="2" s="1"/>
  <c r="L91" i="2"/>
  <c r="M91" i="2" s="1"/>
  <c r="I92" i="2"/>
  <c r="J92" i="2" s="1"/>
  <c r="F92" i="2"/>
  <c r="G92" i="2" s="1"/>
  <c r="F91" i="2"/>
  <c r="G91" i="2" s="1"/>
  <c r="C91" i="2"/>
  <c r="D91" i="2" s="1"/>
  <c r="L90" i="2"/>
  <c r="M90" i="2" s="1"/>
  <c r="I90" i="2"/>
  <c r="J90" i="2" s="1"/>
  <c r="F90" i="2"/>
  <c r="G90" i="2" s="1"/>
  <c r="G98" i="2"/>
  <c r="C90" i="2"/>
  <c r="D90" i="2" s="1"/>
  <c r="D80" i="2"/>
  <c r="D79" i="2"/>
  <c r="D78" i="2"/>
  <c r="D77" i="2"/>
  <c r="D76" i="2"/>
  <c r="D75" i="2"/>
  <c r="D74" i="2"/>
  <c r="D73" i="2"/>
  <c r="D72" i="2"/>
  <c r="D71" i="2"/>
  <c r="D70" i="2"/>
  <c r="D69" i="2"/>
  <c r="D68" i="2"/>
  <c r="D67" i="2"/>
  <c r="D66" i="2"/>
  <c r="D65" i="2"/>
  <c r="D64" i="2"/>
  <c r="C80" i="2"/>
  <c r="C79" i="2"/>
  <c r="C78" i="2"/>
  <c r="C77" i="2"/>
  <c r="C76" i="2"/>
  <c r="C75" i="2"/>
  <c r="C74" i="2"/>
  <c r="C73" i="2"/>
  <c r="C72" i="2"/>
  <c r="C71" i="2"/>
  <c r="C70" i="2"/>
  <c r="C69" i="2"/>
  <c r="C68" i="2"/>
  <c r="C65" i="2"/>
  <c r="C64" i="2"/>
  <c r="C67" i="2"/>
  <c r="C66" i="2"/>
  <c r="C60" i="2"/>
  <c r="D60" i="2"/>
  <c r="D59" i="2"/>
  <c r="D58" i="2"/>
  <c r="D57" i="2"/>
  <c r="D56" i="2"/>
  <c r="D55" i="2"/>
  <c r="D54" i="2"/>
  <c r="D53" i="2"/>
  <c r="D52" i="2"/>
  <c r="D51" i="2"/>
  <c r="D50" i="2"/>
  <c r="D49" i="2"/>
  <c r="D48" i="2"/>
  <c r="D47" i="2"/>
  <c r="D46" i="2"/>
  <c r="D45" i="2"/>
  <c r="D44" i="2"/>
  <c r="D43" i="2"/>
  <c r="C59" i="2"/>
  <c r="C58" i="2"/>
  <c r="C57" i="2"/>
  <c r="C56" i="2"/>
  <c r="C55" i="2"/>
  <c r="C54" i="2"/>
  <c r="C53" i="2"/>
  <c r="C52" i="2"/>
  <c r="C51" i="2"/>
  <c r="C50" i="2"/>
  <c r="C49" i="2"/>
  <c r="C48" i="2"/>
  <c r="C47" i="2"/>
  <c r="C46" i="2"/>
  <c r="C45" i="2"/>
  <c r="C44" i="2"/>
  <c r="C43" i="2"/>
  <c r="D42" i="2"/>
  <c r="C42" i="2"/>
  <c r="C33" i="2"/>
  <c r="C38" i="2"/>
  <c r="D38" i="2"/>
  <c r="D37" i="2"/>
  <c r="C37" i="2"/>
  <c r="D36" i="2"/>
  <c r="C36" i="2"/>
  <c r="D35" i="2"/>
  <c r="C35" i="2"/>
  <c r="D34" i="2"/>
  <c r="C34" i="2"/>
  <c r="D33" i="2"/>
  <c r="D32" i="2"/>
  <c r="C32" i="2"/>
  <c r="D31" i="2"/>
  <c r="C31" i="2"/>
  <c r="D30" i="2"/>
  <c r="C30" i="2"/>
  <c r="D29" i="2"/>
  <c r="C29" i="2"/>
  <c r="D28" i="2"/>
  <c r="C28" i="2"/>
  <c r="D27" i="2"/>
  <c r="C27" i="2"/>
  <c r="D26" i="2"/>
  <c r="C26" i="2"/>
  <c r="D25" i="2"/>
  <c r="C25" i="2"/>
  <c r="D24" i="2"/>
  <c r="C24" i="2"/>
  <c r="D23" i="2"/>
  <c r="C23" i="2"/>
  <c r="C22" i="2"/>
  <c r="D22" i="2"/>
  <c r="D18" i="2"/>
  <c r="C18" i="2"/>
  <c r="D17" i="2"/>
  <c r="C17" i="2"/>
  <c r="D16" i="2"/>
  <c r="C16" i="2"/>
  <c r="D15" i="2"/>
  <c r="C15" i="2"/>
  <c r="D14" i="2"/>
  <c r="C14" i="2"/>
  <c r="D13" i="2"/>
  <c r="C13" i="2"/>
  <c r="D12" i="2"/>
  <c r="C12" i="2"/>
  <c r="D11" i="2"/>
  <c r="C11" i="2"/>
  <c r="D10" i="2"/>
  <c r="C10" i="2"/>
  <c r="D9" i="2"/>
  <c r="C9" i="2"/>
  <c r="D8" i="2"/>
  <c r="C8" i="2"/>
  <c r="D7" i="2"/>
  <c r="C7" i="2"/>
  <c r="D6" i="2"/>
  <c r="C6" i="2"/>
  <c r="D5" i="2"/>
  <c r="C5" i="2"/>
  <c r="D4" i="2"/>
  <c r="C4" i="2"/>
  <c r="D110" i="1"/>
  <c r="D109" i="1"/>
  <c r="D108" i="1"/>
  <c r="D107" i="1"/>
  <c r="D106" i="1"/>
  <c r="D98" i="1"/>
  <c r="D97" i="1"/>
  <c r="D96" i="1"/>
  <c r="D95" i="1"/>
  <c r="D94" i="1"/>
  <c r="D93" i="1"/>
  <c r="D92" i="1"/>
  <c r="D91" i="1"/>
  <c r="D90" i="1"/>
  <c r="D89" i="1"/>
  <c r="D88" i="1"/>
  <c r="D87" i="1"/>
  <c r="D86" i="1"/>
  <c r="D85" i="1"/>
  <c r="D84" i="1"/>
  <c r="D80" i="1"/>
  <c r="D79" i="1"/>
  <c r="D78" i="1"/>
  <c r="D82" i="1"/>
  <c r="D81" i="1"/>
  <c r="D77" i="1"/>
  <c r="D76" i="1"/>
  <c r="D75" i="1"/>
  <c r="D74" i="1"/>
  <c r="D73" i="1"/>
  <c r="D72" i="1"/>
  <c r="D71" i="1"/>
  <c r="D70" i="1"/>
  <c r="D69" i="1"/>
  <c r="D68" i="1"/>
  <c r="D66" i="1"/>
  <c r="D65" i="1"/>
  <c r="D64" i="1"/>
  <c r="D63" i="1"/>
  <c r="D62" i="1"/>
  <c r="D61" i="1"/>
  <c r="D60" i="1"/>
  <c r="D59" i="1"/>
  <c r="D58" i="1"/>
  <c r="D57" i="1"/>
  <c r="D56" i="1"/>
  <c r="D55" i="1"/>
  <c r="D54" i="1"/>
  <c r="D53" i="1"/>
  <c r="D52" i="1"/>
  <c r="D50" i="1"/>
  <c r="D49" i="1"/>
  <c r="D48" i="1"/>
  <c r="D47" i="1"/>
  <c r="D46" i="1"/>
  <c r="D45" i="1"/>
  <c r="D44" i="1"/>
  <c r="D43" i="1"/>
  <c r="D42" i="1"/>
  <c r="D41" i="1"/>
  <c r="D40" i="1"/>
  <c r="D39" i="1"/>
  <c r="D38" i="1"/>
  <c r="D37" i="1"/>
  <c r="D36" i="1"/>
  <c r="D34" i="1"/>
  <c r="D33" i="1"/>
  <c r="D32" i="1"/>
  <c r="D31" i="1"/>
  <c r="D30" i="1"/>
  <c r="D29" i="1"/>
  <c r="D28" i="1"/>
  <c r="D27" i="1"/>
  <c r="D26" i="1"/>
  <c r="D25" i="1"/>
  <c r="D24" i="1"/>
  <c r="D23" i="1"/>
  <c r="D22" i="1"/>
  <c r="D21" i="1"/>
  <c r="D20" i="1"/>
  <c r="D18" i="1"/>
  <c r="D17" i="1"/>
  <c r="D16" i="1"/>
  <c r="D15" i="1"/>
  <c r="D14" i="1"/>
  <c r="D13" i="1"/>
  <c r="D12" i="1"/>
  <c r="D11" i="1"/>
  <c r="D10" i="1"/>
  <c r="D9" i="1"/>
  <c r="D8" i="1"/>
  <c r="D7" i="1"/>
  <c r="D6" i="1"/>
  <c r="D5" i="1"/>
  <c r="D4" i="1"/>
  <c r="C111" i="2" l="1"/>
  <c r="D111" i="2"/>
  <c r="B22" i="3" l="1"/>
  <c r="B23" i="3" s="1"/>
  <c r="A18" i="4" s="1"/>
  <c r="M111" i="2" l="1"/>
  <c r="L111" i="2"/>
  <c r="J111" i="2"/>
  <c r="I111" i="2"/>
  <c r="G111" i="2"/>
  <c r="F111" i="2"/>
  <c r="R122" i="1"/>
  <c r="D99" i="1" s="1"/>
  <c r="R121" i="1"/>
  <c r="D83" i="1" s="1"/>
  <c r="R120" i="1"/>
  <c r="D67" i="1" s="1"/>
  <c r="R119" i="1"/>
  <c r="D51" i="1" s="1"/>
  <c r="R118" i="1"/>
  <c r="D35" i="1" s="1"/>
  <c r="R117" i="1"/>
  <c r="D19" i="1" s="1"/>
  <c r="M102" i="2"/>
  <c r="L102" i="2"/>
  <c r="J102" i="2"/>
  <c r="I102" i="2"/>
  <c r="D61" i="2" s="1"/>
  <c r="G102" i="2"/>
  <c r="F102" i="2"/>
  <c r="D102" i="2"/>
  <c r="C102" i="2"/>
  <c r="C61" i="2" l="1"/>
  <c r="C62" i="2" s="1"/>
  <c r="C81" i="2"/>
  <c r="C82" i="2" s="1"/>
  <c r="D62" i="2"/>
  <c r="D39" i="2"/>
  <c r="D19" i="2"/>
  <c r="D20" i="2" s="1"/>
  <c r="C19" i="2"/>
  <c r="C20" i="2" s="1"/>
  <c r="D81" i="2"/>
  <c r="D82" i="2" s="1"/>
  <c r="C39" i="2"/>
  <c r="E99" i="1"/>
  <c r="E83" i="1"/>
  <c r="B133" i="1" s="1"/>
  <c r="E67" i="1"/>
  <c r="E51" i="1"/>
  <c r="E35" i="1"/>
  <c r="B132" i="1" s="1"/>
  <c r="E19" i="1"/>
  <c r="G3" i="2" l="1"/>
  <c r="I3" i="2"/>
  <c r="G12" i="2"/>
  <c r="I12" i="2"/>
  <c r="G16" i="2"/>
  <c r="I16" i="2"/>
  <c r="G4" i="2"/>
  <c r="H21" i="2" s="1"/>
  <c r="I21" i="2" s="1"/>
  <c r="I4" i="2"/>
  <c r="G11" i="2"/>
  <c r="I11" i="2"/>
  <c r="G15" i="2"/>
  <c r="I15" i="2"/>
  <c r="F35" i="1"/>
  <c r="B54" i="4"/>
  <c r="F99" i="1"/>
  <c r="B135" i="1"/>
  <c r="B51" i="4" s="1"/>
  <c r="F51" i="1"/>
  <c r="B134" i="1"/>
  <c r="B52" i="4" s="1"/>
  <c r="F83" i="1"/>
  <c r="B53" i="4"/>
  <c r="F67" i="1"/>
  <c r="B131" i="1"/>
  <c r="B55" i="4" s="1"/>
  <c r="F19" i="1"/>
  <c r="B130" i="1"/>
  <c r="C40" i="2"/>
  <c r="D40" i="2"/>
  <c r="H24" i="2" l="1"/>
  <c r="I24" i="2" s="1"/>
  <c r="H23" i="2"/>
  <c r="I23" i="2" s="1"/>
  <c r="G7" i="2"/>
  <c r="I7" i="2"/>
  <c r="G8" i="2"/>
  <c r="I8" i="2"/>
  <c r="B56" i="4"/>
  <c r="E130" i="1"/>
  <c r="F130" i="1" s="1"/>
  <c r="A10" i="4" s="1"/>
  <c r="H22" i="2" l="1"/>
  <c r="I22" i="2" s="1"/>
  <c r="I26" i="2" s="1"/>
  <c r="A14" i="4" s="1"/>
</calcChain>
</file>

<file path=xl/sharedStrings.xml><?xml version="1.0" encoding="utf-8"?>
<sst xmlns="http://schemas.openxmlformats.org/spreadsheetml/2006/main" count="634" uniqueCount="448">
  <si>
    <t>S.No</t>
  </si>
  <si>
    <t>Answers</t>
  </si>
  <si>
    <t>R</t>
  </si>
  <si>
    <t>A</t>
  </si>
  <si>
    <t>E</t>
  </si>
  <si>
    <t>I</t>
  </si>
  <si>
    <t>S</t>
  </si>
  <si>
    <t>C</t>
  </si>
  <si>
    <t>TOTAL</t>
  </si>
  <si>
    <t>T</t>
  </si>
  <si>
    <t>F</t>
  </si>
  <si>
    <t xml:space="preserve">J </t>
  </si>
  <si>
    <t xml:space="preserve">P </t>
  </si>
  <si>
    <t>Option A</t>
  </si>
  <si>
    <t xml:space="preserve">Option B </t>
  </si>
  <si>
    <t>J</t>
  </si>
  <si>
    <t>P</t>
  </si>
  <si>
    <t>Architecture and Construction</t>
  </si>
  <si>
    <t>Arts , A/V &amp; Communication</t>
  </si>
  <si>
    <t>Business, Management and Administration</t>
  </si>
  <si>
    <t>Education and Training</t>
  </si>
  <si>
    <t>Finance</t>
  </si>
  <si>
    <t>Government and Public Administration</t>
  </si>
  <si>
    <t>Health Science</t>
  </si>
  <si>
    <t>Hospitality and Tourism</t>
  </si>
  <si>
    <t>Human Services</t>
  </si>
  <si>
    <t>Information Technology</t>
  </si>
  <si>
    <t>Public Safety and Security</t>
  </si>
  <si>
    <t>Manfacturing</t>
  </si>
  <si>
    <t>Marketing , Sales and Service</t>
  </si>
  <si>
    <t>Science, Technology, Engineering &amp; Maths</t>
  </si>
  <si>
    <t>Count</t>
  </si>
  <si>
    <t>V</t>
  </si>
  <si>
    <t>B</t>
  </si>
  <si>
    <t>G</t>
  </si>
  <si>
    <t>H</t>
  </si>
  <si>
    <t>N</t>
  </si>
  <si>
    <t>Y</t>
  </si>
  <si>
    <t>D</t>
  </si>
  <si>
    <t>ASSESSMENT REPORT</t>
  </si>
  <si>
    <r>
      <rPr>
        <b/>
        <sz val="10"/>
        <color theme="1"/>
        <rFont val="Calibri"/>
        <family val="2"/>
        <scheme val="minor"/>
      </rPr>
      <t>Dominant Type:</t>
    </r>
    <r>
      <rPr>
        <sz val="10"/>
        <color theme="1"/>
        <rFont val="Calibri"/>
        <family val="2"/>
        <scheme val="minor"/>
      </rPr>
      <t xml:space="preserve">  </t>
    </r>
    <r>
      <rPr>
        <i/>
        <sz val="10"/>
        <color theme="1"/>
        <rFont val="Calibri"/>
        <family val="2"/>
        <scheme val="minor"/>
      </rPr>
      <t>Social</t>
    </r>
    <r>
      <rPr>
        <sz val="10"/>
        <color theme="1"/>
        <rFont val="Calibri"/>
        <family val="2"/>
        <scheme val="minor"/>
      </rPr>
      <t xml:space="preserve">
A person with a "Social Personality" tends to be helping, informing, teaching, inspiring, counseling, and serving.
Examples of social abilities include interacting with people and concerned with the welfare of people.</t>
    </r>
  </si>
  <si>
    <t>ANSWER SHEET</t>
  </si>
  <si>
    <t>Section A</t>
  </si>
  <si>
    <t>S. No</t>
  </si>
  <si>
    <t>Answer</t>
  </si>
  <si>
    <t xml:space="preserve">Section B </t>
  </si>
  <si>
    <t xml:space="preserve">Section C </t>
  </si>
  <si>
    <t xml:space="preserve">Box No. </t>
  </si>
  <si>
    <t>Numbers checked</t>
  </si>
  <si>
    <t xml:space="preserve">Name: </t>
  </si>
  <si>
    <t xml:space="preserve">School: </t>
  </si>
  <si>
    <t xml:space="preserve">Grade: </t>
  </si>
  <si>
    <t xml:space="preserve">Date: </t>
  </si>
  <si>
    <t>________________________</t>
  </si>
  <si>
    <r>
      <rPr>
        <b/>
        <sz val="10"/>
        <color theme="1"/>
        <rFont val="Calibri"/>
        <family val="2"/>
        <scheme val="minor"/>
      </rPr>
      <t>Dominant Type:</t>
    </r>
    <r>
      <rPr>
        <sz val="10"/>
        <color theme="1"/>
        <rFont val="Calibri"/>
        <family val="2"/>
        <scheme val="minor"/>
      </rPr>
      <t xml:space="preserve">  </t>
    </r>
    <r>
      <rPr>
        <i/>
        <sz val="10"/>
        <color theme="1"/>
        <rFont val="Calibri"/>
        <family val="2"/>
        <scheme val="minor"/>
      </rPr>
      <t xml:space="preserve">S - Human Services
</t>
    </r>
    <r>
      <rPr>
        <sz val="10"/>
        <color theme="1"/>
        <rFont val="Calibri"/>
        <family val="2"/>
        <scheme val="minor"/>
      </rPr>
      <t xml:space="preserve">
The “Human Services” cluster is divided into five pathways. Pathways are grouped by the knowledge and skills required of occupations in these career fields.  Learners need a solid background in communication, science and technical skills. 
The five pathways are (i) Early childhood development and services, (ii) Counseling and mental health services, (iii) Family and community services, (iv) Personal care services, and (v) Consumer Services.   
</t>
    </r>
  </si>
  <si>
    <r>
      <rPr>
        <b/>
        <sz val="10"/>
        <color theme="1"/>
        <rFont val="Calibri"/>
        <family val="2"/>
        <scheme val="minor"/>
      </rPr>
      <t>Dominant Type:</t>
    </r>
    <r>
      <rPr>
        <sz val="10"/>
        <color theme="1"/>
        <rFont val="Calibri"/>
        <family val="2"/>
        <scheme val="minor"/>
      </rPr>
      <t xml:space="preserve">  </t>
    </r>
    <r>
      <rPr>
        <i/>
        <sz val="10"/>
        <color theme="1"/>
        <rFont val="Calibri"/>
        <family val="2"/>
        <scheme val="minor"/>
      </rPr>
      <t>ENFP</t>
    </r>
    <r>
      <rPr>
        <sz val="10"/>
        <color theme="1"/>
        <rFont val="Calibri"/>
        <family val="2"/>
        <scheme val="minor"/>
      </rPr>
      <t xml:space="preserve">
ENFPs are also known as “THE INSPIRERS”. ENFPs tend to be project-oriented, extremely intuitive, cooperative, friendly, creative and perceptive about people. They are usually able to grasp difficult concepts and theories. ENFPs dislike performing routine tasks. 
Important characteristic: ENFPs are extremely intuitive and perceptive about people. 
</t>
    </r>
  </si>
  <si>
    <r>
      <rPr>
        <b/>
        <sz val="10"/>
        <color theme="1"/>
        <rFont val="Calibri"/>
        <family val="2"/>
        <scheme val="minor"/>
      </rPr>
      <t>Dominant Type:</t>
    </r>
    <r>
      <rPr>
        <sz val="10"/>
        <color theme="1"/>
        <rFont val="Calibri"/>
        <family val="2"/>
        <scheme val="minor"/>
      </rPr>
      <t xml:space="preserve">  </t>
    </r>
    <r>
      <rPr>
        <i/>
        <sz val="10"/>
        <color theme="1"/>
        <rFont val="Calibri"/>
        <family val="2"/>
        <scheme val="minor"/>
      </rPr>
      <t>Investigative</t>
    </r>
    <r>
      <rPr>
        <sz val="10"/>
        <color theme="1"/>
        <rFont val="Calibri"/>
        <family val="2"/>
        <scheme val="minor"/>
      </rPr>
      <t xml:space="preserve">
A person with an "Investigative Personality" tends to be analytical, intellectual, reserved, independent, and scholarly.
Examples of investigative abilities include working with abstract ideas and intellectual problems.</t>
    </r>
  </si>
  <si>
    <r>
      <rPr>
        <b/>
        <sz val="10"/>
        <color theme="1"/>
        <rFont val="Calibri"/>
        <family val="2"/>
        <scheme val="minor"/>
      </rPr>
      <t>Dominant Type:</t>
    </r>
    <r>
      <rPr>
        <sz val="10"/>
        <color theme="1"/>
        <rFont val="Calibri"/>
        <family val="2"/>
        <scheme val="minor"/>
      </rPr>
      <t xml:space="preserve">  </t>
    </r>
    <r>
      <rPr>
        <i/>
        <sz val="10"/>
        <color theme="1"/>
        <rFont val="Calibri"/>
        <family val="2"/>
        <scheme val="minor"/>
      </rPr>
      <t>Conventional</t>
    </r>
    <r>
      <rPr>
        <sz val="10"/>
        <color theme="1"/>
        <rFont val="Calibri"/>
        <family val="2"/>
        <scheme val="minor"/>
      </rPr>
      <t xml:space="preserve">
A person with a "Conventional Personality" tends to be careful, conforming, conservative, conscientious, self-controlled, and structured.
Examples of conventional abilities include ordering activities and paying attention to details.</t>
    </r>
  </si>
  <si>
    <r>
      <rPr>
        <b/>
        <sz val="10"/>
        <color theme="1"/>
        <rFont val="Calibri"/>
        <family val="2"/>
        <scheme val="minor"/>
      </rPr>
      <t>Dominant Type:</t>
    </r>
    <r>
      <rPr>
        <sz val="10"/>
        <color theme="1"/>
        <rFont val="Calibri"/>
        <family val="2"/>
        <scheme val="minor"/>
      </rPr>
      <t xml:space="preserve">  </t>
    </r>
    <r>
      <rPr>
        <i/>
        <sz val="10"/>
        <color theme="1"/>
        <rFont val="Calibri"/>
        <family val="2"/>
        <scheme val="minor"/>
      </rPr>
      <t xml:space="preserve">ISFP
</t>
    </r>
    <r>
      <rPr>
        <sz val="10"/>
        <color theme="1"/>
        <rFont val="Calibri"/>
        <family val="2"/>
        <scheme val="minor"/>
      </rPr>
      <t xml:space="preserve">
ISFPs are also known as “THE ARTISTS”. ISFPs tend to be individualistic, quiet and reserved. They enjoy a slower pace and like to take time to savor the present moment. They dislike routine tasks and dealing with theory or abstract thoughts (unless they see a practical application). 
Important characteristic: ISFPs need a great deal of space and freedom
</t>
    </r>
  </si>
  <si>
    <r>
      <rPr>
        <b/>
        <sz val="10"/>
        <color theme="1"/>
        <rFont val="Calibri"/>
        <family val="2"/>
        <scheme val="minor"/>
      </rPr>
      <t>Dominant Type:</t>
    </r>
    <r>
      <rPr>
        <sz val="10"/>
        <color theme="1"/>
        <rFont val="Calibri"/>
        <family val="2"/>
        <scheme val="minor"/>
      </rPr>
      <t xml:space="preserve">  </t>
    </r>
    <r>
      <rPr>
        <i/>
        <sz val="10"/>
        <color theme="1"/>
        <rFont val="Calibri"/>
        <family val="2"/>
        <scheme val="minor"/>
      </rPr>
      <t xml:space="preserve">ISTP
</t>
    </r>
    <r>
      <rPr>
        <sz val="10"/>
        <color theme="1"/>
        <rFont val="Calibri"/>
        <family val="2"/>
        <scheme val="minor"/>
      </rPr>
      <t xml:space="preserve">
ISTPs are also known as “THE MECHANICS”. ISTPs tend to be interested in how and why things work. They have an excellent ability to apply logic and reason to their immense store of facts to solve problems or discover how things work. 
Important characteristic: Ability to concentrate and work through problems. </t>
    </r>
  </si>
  <si>
    <r>
      <rPr>
        <b/>
        <sz val="10"/>
        <color theme="1"/>
        <rFont val="Calibri"/>
        <family val="2"/>
        <scheme val="minor"/>
      </rPr>
      <t>Dominant Type:</t>
    </r>
    <r>
      <rPr>
        <sz val="10"/>
        <color theme="1"/>
        <rFont val="Calibri"/>
        <family val="2"/>
        <scheme val="minor"/>
      </rPr>
      <t xml:space="preserve">  </t>
    </r>
    <r>
      <rPr>
        <i/>
        <sz val="10"/>
        <color theme="1"/>
        <rFont val="Calibri"/>
        <family val="2"/>
        <scheme val="minor"/>
      </rPr>
      <t>ENTJ</t>
    </r>
    <r>
      <rPr>
        <sz val="10"/>
        <color theme="1"/>
        <rFont val="Calibri"/>
        <family val="2"/>
        <scheme val="minor"/>
      </rPr>
      <t xml:space="preserve">
ENTJs are also known as “THE EXECUTIVES”. ENTJs tend to be future oriented, self confident and decisive. They dislike routine and are impatient with inefficiency and incompetence. 
Important Characteristic: Ability to clearly identify problems and innovative solutions for the short and long-term well-being of an organization. 
</t>
    </r>
  </si>
  <si>
    <r>
      <rPr>
        <b/>
        <sz val="10"/>
        <color theme="1"/>
        <rFont val="Calibri"/>
        <family val="2"/>
        <scheme val="minor"/>
      </rPr>
      <t>Dominant Type:</t>
    </r>
    <r>
      <rPr>
        <sz val="10"/>
        <color theme="1"/>
        <rFont val="Calibri"/>
        <family val="2"/>
        <scheme val="minor"/>
      </rPr>
      <t xml:space="preserve">  </t>
    </r>
    <r>
      <rPr>
        <i/>
        <sz val="10"/>
        <color theme="1"/>
        <rFont val="Calibri"/>
        <family val="2"/>
        <scheme val="minor"/>
      </rPr>
      <t xml:space="preserve">INTJ
</t>
    </r>
    <r>
      <rPr>
        <sz val="10"/>
        <color theme="1"/>
        <rFont val="Calibri"/>
        <family val="2"/>
        <scheme val="minor"/>
      </rPr>
      <t xml:space="preserve">
INTJs are also known as “THE SCIENTISTS”. INTJs tend to be future-oriented, calm, collected, and analytical. They prefer to work alone and are supreme strategists. They are driven to create order and structure from theoretical abstractions. 
Important characteristic: Ability to grasp complex theories and applying them to problems to come up with long-term strategies.</t>
    </r>
  </si>
  <si>
    <r>
      <rPr>
        <b/>
        <sz val="10"/>
        <color theme="1"/>
        <rFont val="Calibri"/>
        <family val="2"/>
        <scheme val="minor"/>
      </rPr>
      <t>Dominant Type:</t>
    </r>
    <r>
      <rPr>
        <sz val="10"/>
        <color theme="1"/>
        <rFont val="Calibri"/>
        <family val="2"/>
        <scheme val="minor"/>
      </rPr>
      <t xml:space="preserve">  </t>
    </r>
    <r>
      <rPr>
        <i/>
        <sz val="10"/>
        <color theme="1"/>
        <rFont val="Calibri"/>
        <family val="2"/>
        <scheme val="minor"/>
      </rPr>
      <t xml:space="preserve">INTP
</t>
    </r>
    <r>
      <rPr>
        <sz val="10"/>
        <color theme="1"/>
        <rFont val="Calibri"/>
        <family val="2"/>
        <scheme val="minor"/>
      </rPr>
      <t xml:space="preserve">
INTPs are also known as “THE THINKERS”.  INTPs tend to be independent, original, creative, and future oriented. They love theory and abstract ideas and work best alone. 
Important Characteristic: Ability to  quickly grasp complex abstract thoughts. </t>
    </r>
  </si>
  <si>
    <r>
      <rPr>
        <b/>
        <sz val="10"/>
        <color theme="1"/>
        <rFont val="Calibri"/>
        <family val="2"/>
        <scheme val="minor"/>
      </rPr>
      <t>Dominant Type:</t>
    </r>
    <r>
      <rPr>
        <sz val="10"/>
        <color theme="1"/>
        <rFont val="Calibri"/>
        <family val="2"/>
        <scheme val="minor"/>
      </rPr>
      <t xml:space="preserve">  </t>
    </r>
    <r>
      <rPr>
        <i/>
        <sz val="10"/>
        <color theme="1"/>
        <rFont val="Calibri"/>
        <family val="2"/>
        <scheme val="minor"/>
      </rPr>
      <t>INFJ</t>
    </r>
    <r>
      <rPr>
        <sz val="10"/>
        <color theme="1"/>
        <rFont val="Calibri"/>
        <family val="2"/>
        <scheme val="minor"/>
      </rPr>
      <t xml:space="preserve">
INFJs are also known as “THE PROTECTORS”. INFJs generally tend to be intuitive, idealistic, sensitive and compassionate towards people. They are usually reserved about expressing their true selves. 
Important characteristic: Ability to work logically and rationally.</t>
    </r>
  </si>
  <si>
    <t xml:space="preserve">ANSWER SHEET  - SECTION A  (fill data in blue cells only) (Yes = 1 and No = 0) </t>
  </si>
  <si>
    <t>d</t>
  </si>
  <si>
    <t>e</t>
  </si>
  <si>
    <t xml:space="preserve">S  </t>
  </si>
  <si>
    <t>SUMMARY</t>
  </si>
  <si>
    <t xml:space="preserve">Section D </t>
  </si>
  <si>
    <t xml:space="preserve">Section F </t>
  </si>
  <si>
    <t xml:space="preserve">Scenario 1 </t>
  </si>
  <si>
    <t>i</t>
  </si>
  <si>
    <t>ii</t>
  </si>
  <si>
    <t>iii</t>
  </si>
  <si>
    <t>iv</t>
  </si>
  <si>
    <t>v</t>
  </si>
  <si>
    <t>vi</t>
  </si>
  <si>
    <t>Scenario 2</t>
  </si>
  <si>
    <t>Scenario 3</t>
  </si>
  <si>
    <t>Scenario 4</t>
  </si>
  <si>
    <t xml:space="preserve">TOTAL </t>
  </si>
  <si>
    <t>a</t>
  </si>
  <si>
    <t>b</t>
  </si>
  <si>
    <t>c</t>
  </si>
  <si>
    <t>VOCATION FINDER</t>
  </si>
  <si>
    <t>PERSONALITY ANALYZER</t>
  </si>
  <si>
    <t>CAREER FUNNEL</t>
  </si>
  <si>
    <r>
      <rPr>
        <b/>
        <sz val="10"/>
        <color theme="1"/>
        <rFont val="Calibri"/>
        <family val="2"/>
        <scheme val="minor"/>
      </rPr>
      <t>Dominant Type:</t>
    </r>
    <r>
      <rPr>
        <sz val="10"/>
        <color theme="1"/>
        <rFont val="Calibri"/>
        <family val="2"/>
        <scheme val="minor"/>
      </rPr>
      <t xml:space="preserve">  </t>
    </r>
    <r>
      <rPr>
        <i/>
        <sz val="10"/>
        <color theme="1"/>
        <rFont val="Calibri"/>
        <family val="2"/>
        <scheme val="minor"/>
      </rPr>
      <t>Realistic</t>
    </r>
    <r>
      <rPr>
        <sz val="10"/>
        <color theme="1"/>
        <rFont val="Calibri"/>
        <family val="2"/>
        <scheme val="minor"/>
      </rPr>
      <t xml:space="preserve">
A person with a "Realistic Personality" tends to be frank, practical, focused, mechanical, determined, and rugged.
Examples of</t>
    </r>
    <r>
      <rPr>
        <b/>
        <sz val="10"/>
        <color theme="1"/>
        <rFont val="Calibri"/>
        <family val="2"/>
        <scheme val="minor"/>
      </rPr>
      <t xml:space="preserve"> </t>
    </r>
    <r>
      <rPr>
        <sz val="10"/>
        <color theme="1"/>
        <rFont val="Calibri"/>
        <family val="2"/>
        <scheme val="minor"/>
      </rPr>
      <t>realistic abilities include manipulating tools, doing mechanical or manual tasks, and doing athletic activities.</t>
    </r>
  </si>
  <si>
    <r>
      <rPr>
        <b/>
        <sz val="10"/>
        <color theme="1"/>
        <rFont val="Calibri"/>
        <family val="2"/>
        <scheme val="minor"/>
      </rPr>
      <t>Dominant Type:</t>
    </r>
    <r>
      <rPr>
        <sz val="10"/>
        <color theme="1"/>
        <rFont val="Calibri"/>
        <family val="2"/>
        <scheme val="minor"/>
      </rPr>
      <t xml:space="preserve">  </t>
    </r>
    <r>
      <rPr>
        <i/>
        <sz val="10"/>
        <color theme="1"/>
        <rFont val="Calibri"/>
        <family val="2"/>
        <scheme val="minor"/>
      </rPr>
      <t>Artistic</t>
    </r>
    <r>
      <rPr>
        <sz val="10"/>
        <color theme="1"/>
        <rFont val="Calibri"/>
        <family val="2"/>
        <scheme val="minor"/>
      </rPr>
      <t xml:space="preserve">
A person with an "Artistic Personality" tends to be complicated, original, impulsive, independent, expressive, and creative.
Examples of artistic abilities include using imagination and feelings in creative expression</t>
    </r>
  </si>
  <si>
    <r>
      <rPr>
        <b/>
        <sz val="10"/>
        <color theme="1"/>
        <rFont val="Calibri"/>
        <family val="2"/>
        <scheme val="minor"/>
      </rPr>
      <t>Dominant Type:</t>
    </r>
    <r>
      <rPr>
        <sz val="10"/>
        <color theme="1"/>
        <rFont val="Calibri"/>
        <family val="2"/>
        <scheme val="minor"/>
      </rPr>
      <t xml:space="preserve">  </t>
    </r>
    <r>
      <rPr>
        <i/>
        <sz val="10"/>
        <color theme="1"/>
        <rFont val="Calibri"/>
        <family val="2"/>
        <scheme val="minor"/>
      </rPr>
      <t>Enterprising</t>
    </r>
    <r>
      <rPr>
        <sz val="10"/>
        <color theme="1"/>
        <rFont val="Calibri"/>
        <family val="2"/>
        <scheme val="minor"/>
      </rPr>
      <t xml:space="preserve">
A person with an "Enterprising Personality" tends to be persuasive, energetic, sociable, adventurous, ambitious, and risk-taking.
Examples of enterprising abilities include leading, managing, and organizing.</t>
    </r>
  </si>
  <si>
    <r>
      <rPr>
        <b/>
        <sz val="10"/>
        <color theme="1"/>
        <rFont val="Calibri"/>
        <family val="2"/>
        <scheme val="minor"/>
      </rPr>
      <t>Dominant Type:</t>
    </r>
    <r>
      <rPr>
        <i/>
        <sz val="10"/>
        <color theme="1"/>
        <rFont val="Calibri"/>
        <family val="2"/>
        <scheme val="minor"/>
      </rPr>
      <t xml:space="preserve">  ISTJ</t>
    </r>
    <r>
      <rPr>
        <sz val="10"/>
        <color theme="1"/>
        <rFont val="Calibri"/>
        <family val="2"/>
        <scheme val="minor"/>
      </rPr>
      <t xml:space="preserve">
ISTJs are also known as “DUTY FULFILLERS”. ISTJs tend to respect facts, appreciate structured / orderly environments, work long and hard to fulfill duties &amp; are extremely observant. They dislike changes and doing things which don’t make sense to them.  
Important characteristic: Perseverance. </t>
    </r>
  </si>
  <si>
    <r>
      <rPr>
        <b/>
        <sz val="10"/>
        <color theme="1"/>
        <rFont val="Calibri"/>
        <family val="2"/>
        <scheme val="minor"/>
      </rPr>
      <t>Dominant Type:</t>
    </r>
    <r>
      <rPr>
        <sz val="10"/>
        <color theme="1"/>
        <rFont val="Calibri"/>
        <family val="2"/>
        <scheme val="minor"/>
      </rPr>
      <t xml:space="preserve">  </t>
    </r>
    <r>
      <rPr>
        <i/>
        <sz val="10"/>
        <color theme="1"/>
        <rFont val="Calibri"/>
        <family val="2"/>
        <scheme val="minor"/>
      </rPr>
      <t>ESTJ</t>
    </r>
    <r>
      <rPr>
        <sz val="10"/>
        <color theme="1"/>
        <rFont val="Calibri"/>
        <family val="2"/>
        <scheme val="minor"/>
      </rPr>
      <t xml:space="preserve">
ESTJs are also known as “THE GUARDIANS”.  ESTJs tend to be athletic and wholesome. They have clear set of standards, have no patience with incompetence, enjoy order and structure, and are driven to fulfill their duties. 
Important characteristic: Flexibility. </t>
    </r>
  </si>
  <si>
    <r>
      <rPr>
        <b/>
        <sz val="10"/>
        <color theme="1"/>
        <rFont val="Calibri"/>
        <family val="2"/>
        <scheme val="minor"/>
      </rPr>
      <t>Dominant Type:</t>
    </r>
    <r>
      <rPr>
        <sz val="10"/>
        <color theme="1"/>
        <rFont val="Calibri"/>
        <family val="2"/>
        <scheme val="minor"/>
      </rPr>
      <t xml:space="preserve">  </t>
    </r>
    <r>
      <rPr>
        <i/>
        <sz val="10"/>
        <color theme="1"/>
        <rFont val="Calibri"/>
        <family val="2"/>
        <scheme val="minor"/>
      </rPr>
      <t xml:space="preserve">ISFJ
</t>
    </r>
    <r>
      <rPr>
        <sz val="10"/>
        <color theme="1"/>
        <rFont val="Calibri"/>
        <family val="2"/>
        <scheme val="minor"/>
      </rPr>
      <t xml:space="preserve">
ISFJs are also known as “NURTURERS”. ISFJs tend to be highly observant, stable, and practical. They have excellent memory for details and enjoy creating structure &amp; order. 
Important characteristic:  Ability to create structure and order. </t>
    </r>
  </si>
  <si>
    <r>
      <rPr>
        <b/>
        <sz val="10"/>
        <color theme="1"/>
        <rFont val="Calibri"/>
        <family val="2"/>
        <scheme val="minor"/>
      </rPr>
      <t>Dominant Type:</t>
    </r>
    <r>
      <rPr>
        <sz val="10"/>
        <color theme="1"/>
        <rFont val="Calibri"/>
        <family val="2"/>
        <scheme val="minor"/>
      </rPr>
      <t xml:space="preserve">  </t>
    </r>
    <r>
      <rPr>
        <i/>
        <sz val="10"/>
        <color theme="1"/>
        <rFont val="Calibri"/>
        <family val="2"/>
        <scheme val="minor"/>
      </rPr>
      <t xml:space="preserve">ESFJ
</t>
    </r>
    <r>
      <rPr>
        <sz val="10"/>
        <color theme="1"/>
        <rFont val="Calibri"/>
        <family val="2"/>
        <scheme val="minor"/>
      </rPr>
      <t xml:space="preserve">
ESFJs are also known as “THE CAREGIVERS”. ESFJs tend to be organized, warm hearted and sympathetic. They enjoy variety and interacting with people. 
Important characteristic: Ability to create structure and order. </t>
    </r>
  </si>
  <si>
    <r>
      <rPr>
        <b/>
        <sz val="10"/>
        <color theme="1"/>
        <rFont val="Calibri"/>
        <family val="2"/>
        <scheme val="minor"/>
      </rPr>
      <t>Dominant Type:</t>
    </r>
    <r>
      <rPr>
        <sz val="10"/>
        <color theme="1"/>
        <rFont val="Calibri"/>
        <family val="2"/>
        <scheme val="minor"/>
      </rPr>
      <t xml:space="preserve">  </t>
    </r>
    <r>
      <rPr>
        <i/>
        <sz val="10"/>
        <color theme="1"/>
        <rFont val="Calibri"/>
        <family val="2"/>
        <scheme val="minor"/>
      </rPr>
      <t xml:space="preserve">ESTP
</t>
    </r>
    <r>
      <rPr>
        <sz val="10"/>
        <color theme="1"/>
        <rFont val="Calibri"/>
        <family val="2"/>
        <scheme val="minor"/>
      </rPr>
      <t xml:space="preserve">
ESTPs are also known as “THE DOERS”. ESTPs tend to be action-oriented, fast paced and energetic. They live in the present moment, like to initiate things, and are fun to be around.
Important characteristic:  Ability to observe and react quickly / effectively to an immediate need.</t>
    </r>
  </si>
  <si>
    <r>
      <rPr>
        <b/>
        <sz val="10"/>
        <color theme="1"/>
        <rFont val="Calibri"/>
        <family val="2"/>
        <scheme val="minor"/>
      </rPr>
      <t>Dominant Type:</t>
    </r>
    <r>
      <rPr>
        <sz val="10"/>
        <color theme="1"/>
        <rFont val="Calibri"/>
        <family val="2"/>
        <scheme val="minor"/>
      </rPr>
      <t xml:space="preserve">  </t>
    </r>
    <r>
      <rPr>
        <i/>
        <sz val="10"/>
        <color theme="1"/>
        <rFont val="Calibri"/>
        <family val="2"/>
        <scheme val="minor"/>
      </rPr>
      <t xml:space="preserve">ESFP
</t>
    </r>
    <r>
      <rPr>
        <sz val="10"/>
        <color theme="1"/>
        <rFont val="Calibri"/>
        <family val="2"/>
        <scheme val="minor"/>
      </rPr>
      <t xml:space="preserve">
ESFPs are also known as “PERFORMERS”. ESFPs tend to be stimulated and excited by new experiences. They are independent, spontaneous and are warmly interested in people. They dislike structure and routine. 
Important characteristic: People’s skills. </t>
    </r>
  </si>
  <si>
    <r>
      <rPr>
        <b/>
        <sz val="10"/>
        <color theme="1"/>
        <rFont val="Calibri"/>
        <family val="2"/>
        <scheme val="minor"/>
      </rPr>
      <t>Dominant Type:</t>
    </r>
    <r>
      <rPr>
        <sz val="10"/>
        <color theme="1"/>
        <rFont val="Calibri"/>
        <family val="2"/>
        <scheme val="minor"/>
      </rPr>
      <t xml:space="preserve">  </t>
    </r>
    <r>
      <rPr>
        <i/>
        <sz val="10"/>
        <color theme="1"/>
        <rFont val="Calibri"/>
        <family val="2"/>
        <scheme val="minor"/>
      </rPr>
      <t xml:space="preserve">ENTP
</t>
    </r>
    <r>
      <rPr>
        <sz val="10"/>
        <color theme="1"/>
        <rFont val="Calibri"/>
        <family val="2"/>
        <scheme val="minor"/>
      </rPr>
      <t xml:space="preserve">
ENTPs are also known as “THE VISIONARIES”. ENTPs tend to be project-oriented, creative, flexible, diverse, and logical / rational thinkers. They dislike routine and detailed tasks. 
Important characteristic: Creativity</t>
    </r>
  </si>
  <si>
    <r>
      <rPr>
        <b/>
        <sz val="10"/>
        <color theme="1"/>
        <rFont val="Calibri"/>
        <family val="2"/>
        <scheme val="minor"/>
      </rPr>
      <t>Dominant Type:</t>
    </r>
    <r>
      <rPr>
        <sz val="10"/>
        <color theme="1"/>
        <rFont val="Calibri"/>
        <family val="2"/>
        <scheme val="minor"/>
      </rPr>
      <t xml:space="preserve">  </t>
    </r>
    <r>
      <rPr>
        <i/>
        <sz val="10"/>
        <color theme="1"/>
        <rFont val="Calibri"/>
        <family val="2"/>
        <scheme val="minor"/>
      </rPr>
      <t xml:space="preserve">ENFJ
</t>
    </r>
    <r>
      <rPr>
        <sz val="10"/>
        <color theme="1"/>
        <rFont val="Calibri"/>
        <family val="2"/>
        <scheme val="minor"/>
      </rPr>
      <t xml:space="preserve">
ENFJs are also known as “THE GIVERS”. ENFJs tend to be creative, imaginative and warmly interested in people. They value structure /organization and are good at people skills. They are extremely sensitive to criticism and discord. 
Important Characteristic: People skills. </t>
    </r>
  </si>
  <si>
    <r>
      <rPr>
        <b/>
        <sz val="10"/>
        <color theme="1"/>
        <rFont val="Calibri"/>
        <family val="2"/>
        <scheme val="minor"/>
      </rPr>
      <t>Dominant Type:</t>
    </r>
    <r>
      <rPr>
        <sz val="10"/>
        <color theme="1"/>
        <rFont val="Calibri"/>
        <family val="2"/>
        <scheme val="minor"/>
      </rPr>
      <t xml:space="preserve">  </t>
    </r>
    <r>
      <rPr>
        <i/>
        <sz val="10"/>
        <color theme="1"/>
        <rFont val="Calibri"/>
        <family val="2"/>
        <scheme val="minor"/>
      </rPr>
      <t xml:space="preserve">INFP
</t>
    </r>
    <r>
      <rPr>
        <sz val="10"/>
        <color theme="1"/>
        <rFont val="Calibri"/>
        <family val="2"/>
        <scheme val="minor"/>
      </rPr>
      <t xml:space="preserve">
INFPs are also known as “THE IDEALISTS”. INFPs tend to be future &amp; growth oriented, creative, inspirational, flexible, laid-back, and individualistic. They prefer to work alone and dislike dealing with details and routine work. 
Important characteristic: INFPs are growth oriented. </t>
    </r>
  </si>
  <si>
    <r>
      <rPr>
        <b/>
        <sz val="10"/>
        <color theme="1"/>
        <rFont val="Calibri"/>
        <family val="2"/>
        <scheme val="minor"/>
      </rPr>
      <t>Dominant Type:</t>
    </r>
    <r>
      <rPr>
        <sz val="10"/>
        <color theme="1"/>
        <rFont val="Calibri"/>
        <family val="2"/>
        <scheme val="minor"/>
      </rPr>
      <t xml:space="preserve">  Y - Science / Technology / Maths / Engineering </t>
    </r>
    <r>
      <rPr>
        <i/>
        <sz val="10"/>
        <color theme="1"/>
        <rFont val="Calibri"/>
        <family val="2"/>
        <scheme val="minor"/>
      </rPr>
      <t xml:space="preserve">
</t>
    </r>
    <r>
      <rPr>
        <sz val="10"/>
        <color theme="1"/>
        <rFont val="Calibri"/>
        <family val="2"/>
        <scheme val="minor"/>
      </rPr>
      <t xml:space="preserve">
The “Science, Technology, Engineering and Mathematics” cluster is divided into two pathways. Pathways are grouped by the knowledge and skills required of occupations in these career fields. Learners need a solid background in math, science, and technical skills. 
The two pathways are (i) Science &amp; Mathematics, and (ii) Engineering &amp; Technology. </t>
    </r>
  </si>
  <si>
    <t>M</t>
  </si>
  <si>
    <r>
      <rPr>
        <b/>
        <sz val="10"/>
        <color theme="1"/>
        <rFont val="Calibri"/>
        <family val="2"/>
        <scheme val="minor"/>
      </rPr>
      <t>Dominant Type:</t>
    </r>
    <r>
      <rPr>
        <sz val="10"/>
        <color theme="1"/>
        <rFont val="Calibri"/>
        <family val="2"/>
        <scheme val="minor"/>
      </rPr>
      <t xml:space="preserve">  </t>
    </r>
    <r>
      <rPr>
        <i/>
        <sz val="10"/>
        <color theme="1"/>
        <rFont val="Calibri"/>
        <family val="2"/>
        <scheme val="minor"/>
      </rPr>
      <t xml:space="preserve">V - Arts / Communications
</t>
    </r>
    <r>
      <rPr>
        <sz val="10"/>
        <color theme="1"/>
        <rFont val="Calibri"/>
        <family val="2"/>
        <scheme val="minor"/>
      </rPr>
      <t xml:space="preserve">
The “Arts, A/V Technology and Communication” cluster is divided into six pathways. Pathways are grouped by the knowledge and skills required of occupations in these career fields. Learners need a strong background in computer and electronic based technology and a solid foundation in math, science and oral/written communication. 
The six pathways are (i) Visual Arts, (ii) Performing Arts, (iii) Audio/Video Technology, (iv) Journalism &amp; Broadcasting, (v) Telecommunications &amp; Technology, and (vi) Printing Technology. </t>
    </r>
  </si>
  <si>
    <r>
      <rPr>
        <b/>
        <sz val="10"/>
        <color theme="1"/>
        <rFont val="Calibri"/>
        <family val="2"/>
        <scheme val="minor"/>
      </rPr>
      <t>Dominant Type:</t>
    </r>
    <r>
      <rPr>
        <sz val="10"/>
        <color theme="1"/>
        <rFont val="Calibri"/>
        <family val="2"/>
        <scheme val="minor"/>
      </rPr>
      <t xml:space="preserve">  </t>
    </r>
    <r>
      <rPr>
        <i/>
        <sz val="10"/>
        <color theme="1"/>
        <rFont val="Calibri"/>
        <family val="2"/>
        <scheme val="minor"/>
      </rPr>
      <t>T - Hospitality / Tourism</t>
    </r>
    <r>
      <rPr>
        <sz val="10"/>
        <color theme="1"/>
        <rFont val="Calibri"/>
        <family val="2"/>
        <scheme val="minor"/>
      </rPr>
      <t xml:space="preserve">
The “Hospitality and Tourism” cluster is divided into four pathways. Pathways are grouped by the knowledge and skills required of occupations in these career fields. Learners need a solid background in math, science and technical skills. 
The four pathways are (i) Lodging and Housekeeping Services, (ii) Food Production and Services, (iii) Recreation, Gaming &amp; Sports, and (iv) Travel and Tourism Services. </t>
    </r>
  </si>
  <si>
    <r>
      <rPr>
        <b/>
        <sz val="10"/>
        <color theme="1"/>
        <rFont val="Calibri"/>
        <family val="2"/>
        <scheme val="minor"/>
      </rPr>
      <t>Dominant Type:</t>
    </r>
    <r>
      <rPr>
        <sz val="10"/>
        <color theme="1"/>
        <rFont val="Calibri"/>
        <family val="2"/>
        <scheme val="minor"/>
      </rPr>
      <t xml:space="preserve">  I - Information Technology</t>
    </r>
    <r>
      <rPr>
        <i/>
        <sz val="10"/>
        <color theme="1"/>
        <rFont val="Calibri"/>
        <family val="2"/>
        <scheme val="minor"/>
      </rPr>
      <t xml:space="preserve">
</t>
    </r>
    <r>
      <rPr>
        <sz val="10"/>
        <color theme="1"/>
        <rFont val="Calibri"/>
        <family val="2"/>
        <scheme val="minor"/>
      </rPr>
      <t xml:space="preserve">
The “Information Technology” cluster is divided into four pathways. Pathways are grouped by the knowledge and skills required of occupations in these career fields. Learners need a solid background in math and science. 
The four pathways are (i) Information Support and Services, (ii) Programming and Software Development (iii) Network Systems, and (iv) Interactive Media. </t>
    </r>
  </si>
  <si>
    <r>
      <rPr>
        <b/>
        <sz val="10"/>
        <color theme="1"/>
        <rFont val="Calibri"/>
        <family val="2"/>
        <scheme val="minor"/>
      </rPr>
      <t>Dominant Type:</t>
    </r>
    <r>
      <rPr>
        <sz val="10"/>
        <color theme="1"/>
        <rFont val="Calibri"/>
        <family val="2"/>
        <scheme val="minor"/>
      </rPr>
      <t xml:space="preserve">  P - Public Safety</t>
    </r>
    <r>
      <rPr>
        <i/>
        <sz val="10"/>
        <color theme="1"/>
        <rFont val="Calibri"/>
        <family val="2"/>
        <scheme val="minor"/>
      </rPr>
      <t xml:space="preserve">
</t>
    </r>
    <r>
      <rPr>
        <sz val="10"/>
        <color theme="1"/>
        <rFont val="Calibri"/>
        <family val="2"/>
        <scheme val="minor"/>
      </rPr>
      <t xml:space="preserve">
The “Law, Public Safety, Corrections and Security” cluster is divided into three pathways. Pathways are grouped by the knowledge and skills required of occupations in these career fields. Learners need a solid background in math, science and technical skills. 
The three pathways are (i) Law and Legal Public Services, (ii) Criminal Justice and Corrections, and (iii) Fire Protection. </t>
    </r>
  </si>
  <si>
    <r>
      <rPr>
        <b/>
        <sz val="10"/>
        <color theme="1"/>
        <rFont val="Calibri"/>
        <family val="2"/>
        <scheme val="minor"/>
      </rPr>
      <t>Dominant Type:</t>
    </r>
    <r>
      <rPr>
        <sz val="10"/>
        <color theme="1"/>
        <rFont val="Calibri"/>
        <family val="2"/>
        <scheme val="minor"/>
      </rPr>
      <t xml:space="preserve">  </t>
    </r>
    <r>
      <rPr>
        <i/>
        <sz val="10"/>
        <color theme="1"/>
        <rFont val="Calibri"/>
        <family val="2"/>
        <scheme val="minor"/>
      </rPr>
      <t xml:space="preserve">C - Construction / Architecture
</t>
    </r>
    <r>
      <rPr>
        <sz val="10"/>
        <color theme="1"/>
        <rFont val="Calibri"/>
        <family val="2"/>
        <scheme val="minor"/>
      </rPr>
      <t xml:space="preserve">
The “Construction and Architecture” cluster is divided into three pathways. Pathways are grouped by the knowledge and skills required of occupations in these career fields. Learners need a solid background in math, science and technical skills. 
The three pathways are (i) Preconstruction and Design, (ii) Construction, and (iii) Maintenance &amp; Operations. </t>
    </r>
  </si>
  <si>
    <r>
      <rPr>
        <b/>
        <sz val="10"/>
        <color theme="1"/>
        <rFont val="Calibri"/>
        <family val="2"/>
        <scheme val="minor"/>
      </rPr>
      <t>Dominant Type:</t>
    </r>
    <r>
      <rPr>
        <sz val="10"/>
        <color theme="1"/>
        <rFont val="Calibri"/>
        <family val="2"/>
        <scheme val="minor"/>
      </rPr>
      <t xml:space="preserve">  B - Management / Admin</t>
    </r>
    <r>
      <rPr>
        <i/>
        <sz val="10"/>
        <color theme="1"/>
        <rFont val="Calibri"/>
        <family val="2"/>
        <scheme val="minor"/>
      </rPr>
      <t xml:space="preserve">
</t>
    </r>
    <r>
      <rPr>
        <sz val="10"/>
        <color theme="1"/>
        <rFont val="Calibri"/>
        <family val="2"/>
        <scheme val="minor"/>
      </rPr>
      <t xml:space="preserve">
The “Business Management and Administration” cluster is divided into six pathways. Pathways are grouped by the knowledge and skills required of occupations in these career fields. Learners need a solid background in math, science and technical skills. 
The six pathways are (i) Financial Management and Accounting, (ii) Human Resources, (iii) Administrative and Information Support, (iv) Business Analysis, (v) Management, and (vi) Marketing and Communications </t>
    </r>
  </si>
  <si>
    <r>
      <rPr>
        <b/>
        <sz val="10"/>
        <color theme="1"/>
        <rFont val="Calibri"/>
        <family val="2"/>
        <scheme val="minor"/>
      </rPr>
      <t>Dominant Type:</t>
    </r>
    <r>
      <rPr>
        <sz val="10"/>
        <color theme="1"/>
        <rFont val="Calibri"/>
        <family val="2"/>
        <scheme val="minor"/>
      </rPr>
      <t xml:space="preserve"> E - Education / Training</t>
    </r>
    <r>
      <rPr>
        <i/>
        <sz val="10"/>
        <color theme="1"/>
        <rFont val="Calibri"/>
        <family val="2"/>
        <scheme val="minor"/>
      </rPr>
      <t xml:space="preserve">
</t>
    </r>
    <r>
      <rPr>
        <sz val="10"/>
        <color theme="1"/>
        <rFont val="Calibri"/>
        <family val="2"/>
        <scheme val="minor"/>
      </rPr>
      <t xml:space="preserve">
The “Education and Training” cluster is divided into four pathways. Pathways are grouped by the knowledge and skills required of occupations in these career fields. Learners need a solid background in academic, technical and presentation/facilitation skills. 
The four pathways are (i) Teaching and Training, (ii) Professional Support Services, (iii) Child Care and Teacher Aides, and (iv) Education Administration and Administrative Support.  </t>
    </r>
  </si>
  <si>
    <r>
      <rPr>
        <b/>
        <sz val="10"/>
        <color theme="1"/>
        <rFont val="Calibri"/>
        <family val="2"/>
        <scheme val="minor"/>
      </rPr>
      <t>Dominant Type:</t>
    </r>
    <r>
      <rPr>
        <sz val="10"/>
        <color theme="1"/>
        <rFont val="Calibri"/>
        <family val="2"/>
        <scheme val="minor"/>
      </rPr>
      <t xml:space="preserve">  G - Govt. / Public Admin
</t>
    </r>
    <r>
      <rPr>
        <i/>
        <sz val="10"/>
        <color theme="1"/>
        <rFont val="Calibri"/>
        <family val="2"/>
        <scheme val="minor"/>
      </rPr>
      <t xml:space="preserve">
</t>
    </r>
    <r>
      <rPr>
        <sz val="10"/>
        <color theme="1"/>
        <rFont val="Calibri"/>
        <family val="2"/>
        <scheme val="minor"/>
      </rPr>
      <t>The “Government and Public Administration” cluster is divided into six pathways. Pathways are grouped by the knowledge and skills required of occupations in these career fields. Learners need a solid background in social studies, political science, and history. 
The six pathways are (i) Planning, (ii) Revenue &amp; Taxation, (iii) Governance, (iv) Regulation, (v) National Security,  and (vi) Foreign Service</t>
    </r>
  </si>
  <si>
    <r>
      <rPr>
        <b/>
        <sz val="10"/>
        <color theme="1"/>
        <rFont val="Calibri"/>
        <family val="2"/>
        <scheme val="minor"/>
      </rPr>
      <t>Dominant Type:</t>
    </r>
    <r>
      <rPr>
        <sz val="10"/>
        <color theme="1"/>
        <rFont val="Calibri"/>
        <family val="2"/>
        <scheme val="minor"/>
      </rPr>
      <t xml:space="preserve">   F - Finance </t>
    </r>
    <r>
      <rPr>
        <i/>
        <sz val="10"/>
        <color theme="1"/>
        <rFont val="Calibri"/>
        <family val="2"/>
        <scheme val="minor"/>
      </rPr>
      <t xml:space="preserve">
</t>
    </r>
    <r>
      <rPr>
        <sz val="10"/>
        <color theme="1"/>
        <rFont val="Calibri"/>
        <family val="2"/>
        <scheme val="minor"/>
      </rPr>
      <t xml:space="preserve">
The “Finance” cluster is divided into four pathways. Pathways are grouped by the knowledge and skills required of occupations in these career fields.  Learners need a solid background in math and technical skills. 
The four pathways are (i) Banking and Related Services, (ii) Insurance Services, (iii) Business Financial Management, and (iv) Financial and Investment Planning. </t>
    </r>
  </si>
  <si>
    <r>
      <rPr>
        <b/>
        <sz val="10"/>
        <color theme="1"/>
        <rFont val="Calibri"/>
        <family val="2"/>
        <scheme val="minor"/>
      </rPr>
      <t>Dominant Type:</t>
    </r>
    <r>
      <rPr>
        <sz val="10"/>
        <color theme="1"/>
        <rFont val="Calibri"/>
        <family val="2"/>
        <scheme val="minor"/>
      </rPr>
      <t xml:space="preserve">  </t>
    </r>
    <r>
      <rPr>
        <i/>
        <sz val="10"/>
        <color theme="1"/>
        <rFont val="Calibri"/>
        <family val="2"/>
        <scheme val="minor"/>
      </rPr>
      <t>N - Marketing and Sales</t>
    </r>
    <r>
      <rPr>
        <sz val="10"/>
        <color theme="1"/>
        <rFont val="Calibri"/>
        <family val="2"/>
        <scheme val="minor"/>
      </rPr>
      <t xml:space="preserve">
The “marketing and sales” cluster is divided into four pathways. Pathways are grouped by the knowledge and skills required of occupations in these career fields. Learners need a solid background in communication, math and technical skills. 
The four pathways are (i) Merchandising and Sales, (ii) Promotion and Public Relations, (iii) General Distribution, and (iv) Management / Entrepreneurship. </t>
    </r>
  </si>
  <si>
    <r>
      <rPr>
        <b/>
        <sz val="10"/>
        <color theme="1"/>
        <rFont val="Calibri"/>
        <family val="2"/>
        <scheme val="minor"/>
      </rPr>
      <t>Dominant Type:</t>
    </r>
    <r>
      <rPr>
        <sz val="10"/>
        <color theme="1"/>
        <rFont val="Calibri"/>
        <family val="2"/>
        <scheme val="minor"/>
      </rPr>
      <t xml:space="preserve">  H</t>
    </r>
    <r>
      <rPr>
        <i/>
        <sz val="10"/>
        <color theme="1"/>
        <rFont val="Calibri"/>
        <family val="2"/>
        <scheme val="minor"/>
      </rPr>
      <t xml:space="preserve"> - Health Science</t>
    </r>
    <r>
      <rPr>
        <sz val="10"/>
        <color theme="1"/>
        <rFont val="Calibri"/>
        <family val="2"/>
        <scheme val="minor"/>
      </rPr>
      <t xml:space="preserve">
The “Health Sciences” cluster is divided into five pathways. Pathways are grouped by the knowledge and skills required of occupations in these career fields. Learners need a solid background in math, science, communications and technical skills. 
The five pathways are (i) Therapeutic Services, (ii) Diagnostic Services, (iii) Information and Communication Services, (iv)Support Services, &amp; (v) Biotechnology and Pharmaceutical Services.</t>
    </r>
  </si>
  <si>
    <r>
      <rPr>
        <b/>
        <sz val="10"/>
        <color theme="1"/>
        <rFont val="Calibri"/>
        <family val="2"/>
        <scheme val="minor"/>
      </rPr>
      <t>Dominant Type:</t>
    </r>
    <r>
      <rPr>
        <sz val="10"/>
        <color theme="1"/>
        <rFont val="Calibri"/>
        <family val="2"/>
        <scheme val="minor"/>
      </rPr>
      <t xml:space="preserve">  </t>
    </r>
    <r>
      <rPr>
        <i/>
        <sz val="10"/>
        <color theme="1"/>
        <rFont val="Calibri"/>
        <family val="2"/>
        <scheme val="minor"/>
      </rPr>
      <t>M - Manufacturing</t>
    </r>
    <r>
      <rPr>
        <sz val="10"/>
        <color theme="1"/>
        <rFont val="Calibri"/>
        <family val="2"/>
        <scheme val="minor"/>
      </rPr>
      <t xml:space="preserve">
The manufacturing career cluster is divided into four pathways. Pathways are grouped by the knowledge and skills required of occupations in these career fields. Learners need a solid background in math, science and technical skills. 
The four pathways are (i) Precision Metal Production, (ii) Precision Technology Processes, (iii) Electromechanical Installation and Maintenance, and (iv) Production Design, Operations and Maintenance. </t>
    </r>
  </si>
  <si>
    <t xml:space="preserve">SECTIoN C (fill with 1 or 0 only) </t>
  </si>
  <si>
    <t>ISTJ</t>
  </si>
  <si>
    <t>ESTJ</t>
  </si>
  <si>
    <t>ISFJ</t>
  </si>
  <si>
    <t>ESFJ</t>
  </si>
  <si>
    <t>ISTP</t>
  </si>
  <si>
    <t>ESTP</t>
  </si>
  <si>
    <t>ESFP</t>
  </si>
  <si>
    <t>ISFP</t>
  </si>
  <si>
    <t>ENTJ</t>
  </si>
  <si>
    <t>INTJ</t>
  </si>
  <si>
    <t>ENTP</t>
  </si>
  <si>
    <t>INTP</t>
  </si>
  <si>
    <t>ENFJ</t>
  </si>
  <si>
    <t>INFJ</t>
  </si>
  <si>
    <t>ENFP</t>
  </si>
  <si>
    <t>INFP</t>
  </si>
  <si>
    <t>Natural Resource Management</t>
  </si>
  <si>
    <r>
      <rPr>
        <b/>
        <sz val="10"/>
        <color theme="1"/>
        <rFont val="Calibri"/>
        <family val="2"/>
        <scheme val="minor"/>
      </rPr>
      <t>Dominant Type:</t>
    </r>
    <r>
      <rPr>
        <i/>
        <sz val="10"/>
        <color theme="1"/>
        <rFont val="Calibri"/>
        <family val="2"/>
        <scheme val="minor"/>
      </rPr>
      <t xml:space="preserve">  A - Natural Resource</t>
    </r>
    <r>
      <rPr>
        <sz val="10"/>
        <color theme="1"/>
        <rFont val="Calibri"/>
        <family val="2"/>
        <scheme val="minor"/>
      </rPr>
      <t xml:space="preserve">
The “Natural Resource Management” cluster is divided into five pathways. Pathways are grouped by the knowledge and skills required of occupations in these career fields. Learners need a solid background in math, science, communication, and technical skills. 
The five pathways are (i) Agriculture Management, Production, and Operations, (ii) Horticulture, Landscaping, and Groundskeeping, (iii) Agriculture Sciences, Processes &amp; Support Services, (iv) Mining and Operations, and (v) Conservation &amp; Natural Resources</t>
    </r>
  </si>
  <si>
    <r>
      <rPr>
        <b/>
        <sz val="10"/>
        <color theme="1"/>
        <rFont val="Calibri"/>
        <family val="2"/>
        <scheme val="minor"/>
      </rPr>
      <t>Dominant Type:</t>
    </r>
    <r>
      <rPr>
        <sz val="10"/>
        <color theme="1"/>
        <rFont val="Calibri"/>
        <family val="2"/>
        <scheme val="minor"/>
      </rPr>
      <t xml:space="preserve">  </t>
    </r>
    <r>
      <rPr>
        <i/>
        <sz val="10"/>
        <color theme="1"/>
        <rFont val="Calibri"/>
        <family val="2"/>
        <scheme val="minor"/>
      </rPr>
      <t xml:space="preserve">D - Logistics and Distribution 
</t>
    </r>
    <r>
      <rPr>
        <sz val="10"/>
        <color theme="1"/>
        <rFont val="Calibri"/>
        <family val="2"/>
        <scheme val="minor"/>
      </rPr>
      <t xml:space="preserve">
The “Logistics and Distribution Management ” cluster is divided into seven pathways. Pathways are grouped by the knowledge and skills required of occupations in these career fields. Learners need a solid background in communications, math, science and technology. 
The seven pathways are (i) Transportation operations, (ii) Logistics planning and management services, (iii) Warehousing and distribution center operations, (iv) Sales and Service, (v) Facility and mobile equipment maintenance,  (vi) Risk Management and Health and Safety Management, and (vii) Transportation Systems / Insfrastructure Planning, and Regulations.</t>
    </r>
  </si>
  <si>
    <t xml:space="preserve">Logistics and Distribution Management </t>
  </si>
  <si>
    <t>DASHBOARD FOR ONLINE ASSESSMENTS</t>
  </si>
  <si>
    <t>Student Name</t>
  </si>
  <si>
    <t>Q1</t>
  </si>
  <si>
    <t>Q2</t>
  </si>
  <si>
    <t>Q3</t>
  </si>
  <si>
    <t>Q4</t>
  </si>
  <si>
    <t>Q5</t>
  </si>
  <si>
    <t>Q6</t>
  </si>
  <si>
    <t>Q7</t>
  </si>
  <si>
    <t>Q8</t>
  </si>
  <si>
    <t>Q9</t>
  </si>
  <si>
    <t>Q10</t>
  </si>
  <si>
    <t>Q11</t>
  </si>
  <si>
    <t>Q12</t>
  </si>
  <si>
    <t>Q13</t>
  </si>
  <si>
    <t>Q14</t>
  </si>
  <si>
    <t>Q15</t>
  </si>
  <si>
    <t>Q16</t>
  </si>
  <si>
    <t>Q17</t>
  </si>
  <si>
    <t>Q18</t>
  </si>
  <si>
    <t>Q19</t>
  </si>
  <si>
    <t>Q20</t>
  </si>
  <si>
    <t>Q21</t>
  </si>
  <si>
    <t>Q22</t>
  </si>
  <si>
    <t>Q23</t>
  </si>
  <si>
    <t>Q24</t>
  </si>
  <si>
    <t>Q25</t>
  </si>
  <si>
    <t>Q26</t>
  </si>
  <si>
    <t>Q27</t>
  </si>
  <si>
    <t>Q28</t>
  </si>
  <si>
    <t>Q29</t>
  </si>
  <si>
    <t>Q30</t>
  </si>
  <si>
    <t>Q31</t>
  </si>
  <si>
    <t>Q32</t>
  </si>
  <si>
    <t>Q33</t>
  </si>
  <si>
    <t>Q34</t>
  </si>
  <si>
    <t>Q35</t>
  </si>
  <si>
    <t>Q36</t>
  </si>
  <si>
    <t>Q37</t>
  </si>
  <si>
    <t>Q38</t>
  </si>
  <si>
    <t>Q39</t>
  </si>
  <si>
    <t>Q40</t>
  </si>
  <si>
    <t>Q41</t>
  </si>
  <si>
    <t>Q42</t>
  </si>
  <si>
    <t>Q43</t>
  </si>
  <si>
    <t>Q44</t>
  </si>
  <si>
    <t>Q45</t>
  </si>
  <si>
    <t>Q46</t>
  </si>
  <si>
    <t>Q47</t>
  </si>
  <si>
    <t>Q48</t>
  </si>
  <si>
    <t>Q49</t>
  </si>
  <si>
    <t>Q50</t>
  </si>
  <si>
    <t>Q51</t>
  </si>
  <si>
    <t>Q52</t>
  </si>
  <si>
    <t>Q53</t>
  </si>
  <si>
    <t>Q54</t>
  </si>
  <si>
    <t>Q55</t>
  </si>
  <si>
    <t>Q56</t>
  </si>
  <si>
    <t>Q57</t>
  </si>
  <si>
    <t>Q58</t>
  </si>
  <si>
    <t>Q59</t>
  </si>
  <si>
    <t>Q60</t>
  </si>
  <si>
    <t>Q61</t>
  </si>
  <si>
    <t>Q62</t>
  </si>
  <si>
    <t>Q63</t>
  </si>
  <si>
    <t>Q64</t>
  </si>
  <si>
    <t>Q65</t>
  </si>
  <si>
    <t>Q66</t>
  </si>
  <si>
    <t>Q67</t>
  </si>
  <si>
    <t>Q68</t>
  </si>
  <si>
    <t>Q69</t>
  </si>
  <si>
    <t>Q70</t>
  </si>
  <si>
    <t>Q71</t>
  </si>
  <si>
    <t>Q72</t>
  </si>
  <si>
    <t>Q73</t>
  </si>
  <si>
    <t>Q74</t>
  </si>
  <si>
    <t>Q75</t>
  </si>
  <si>
    <t>Q76</t>
  </si>
  <si>
    <t>Q77</t>
  </si>
  <si>
    <t>Q78</t>
  </si>
  <si>
    <t>Q79</t>
  </si>
  <si>
    <t>Q80</t>
  </si>
  <si>
    <t>Q81</t>
  </si>
  <si>
    <t>Q82</t>
  </si>
  <si>
    <t>Q83</t>
  </si>
  <si>
    <t>Q84</t>
  </si>
  <si>
    <t>Q85</t>
  </si>
  <si>
    <t>Q86</t>
  </si>
  <si>
    <t>Q87</t>
  </si>
  <si>
    <t>Q88</t>
  </si>
  <si>
    <t>Q89</t>
  </si>
  <si>
    <t>Q90</t>
  </si>
  <si>
    <t>Q91</t>
  </si>
  <si>
    <t>Q92</t>
  </si>
  <si>
    <t>Q93</t>
  </si>
  <si>
    <t>Q94</t>
  </si>
  <si>
    <t>Q95</t>
  </si>
  <si>
    <t>Q96</t>
  </si>
  <si>
    <t>Q97</t>
  </si>
  <si>
    <t>Q98</t>
  </si>
  <si>
    <t>Q99</t>
  </si>
  <si>
    <t>Q100</t>
  </si>
  <si>
    <t>Q101</t>
  </si>
  <si>
    <t>Q102</t>
  </si>
  <si>
    <t>Q103</t>
  </si>
  <si>
    <t>Q104</t>
  </si>
  <si>
    <t>Q105</t>
  </si>
  <si>
    <t>Q106</t>
  </si>
  <si>
    <t>Q107</t>
  </si>
  <si>
    <t>Q108</t>
  </si>
  <si>
    <t>Q109</t>
  </si>
  <si>
    <t>Q110</t>
  </si>
  <si>
    <t>Q111</t>
  </si>
  <si>
    <t>Q112</t>
  </si>
  <si>
    <t>Q113</t>
  </si>
  <si>
    <t>Q114</t>
  </si>
  <si>
    <t>Q115</t>
  </si>
  <si>
    <t>Q116</t>
  </si>
  <si>
    <t>Q117</t>
  </si>
  <si>
    <t>Q118</t>
  </si>
  <si>
    <t>Q119</t>
  </si>
  <si>
    <t>Q120</t>
  </si>
  <si>
    <t>Q121</t>
  </si>
  <si>
    <t>Q122</t>
  </si>
  <si>
    <t>Q123</t>
  </si>
  <si>
    <t>Q124</t>
  </si>
  <si>
    <t>Q125</t>
  </si>
  <si>
    <t>Q126</t>
  </si>
  <si>
    <t>Q127</t>
  </si>
  <si>
    <t>Q128</t>
  </si>
  <si>
    <t>Q129</t>
  </si>
  <si>
    <t>Q130</t>
  </si>
  <si>
    <t>Q131</t>
  </si>
  <si>
    <t>Q132</t>
  </si>
  <si>
    <t>Q133</t>
  </si>
  <si>
    <t>Q134</t>
  </si>
  <si>
    <t>Q135</t>
  </si>
  <si>
    <t>Q136</t>
  </si>
  <si>
    <t>Q137</t>
  </si>
  <si>
    <t>Q138</t>
  </si>
  <si>
    <t>Q139</t>
  </si>
  <si>
    <t>Q140</t>
  </si>
  <si>
    <t>Q141</t>
  </si>
  <si>
    <t>Q142</t>
  </si>
  <si>
    <t>Q143</t>
  </si>
  <si>
    <t>Q144</t>
  </si>
  <si>
    <t>Q145</t>
  </si>
  <si>
    <t>Q146</t>
  </si>
  <si>
    <t>Q147</t>
  </si>
  <si>
    <t>Q148</t>
  </si>
  <si>
    <t>Q149</t>
  </si>
  <si>
    <t>Q150</t>
  </si>
  <si>
    <t>Q151</t>
  </si>
  <si>
    <t>Q152</t>
  </si>
  <si>
    <t>Q153</t>
  </si>
  <si>
    <t>Q154</t>
  </si>
  <si>
    <t>Q155</t>
  </si>
  <si>
    <t>Q156</t>
  </si>
  <si>
    <t>Q157</t>
  </si>
  <si>
    <t>Q158</t>
  </si>
  <si>
    <t>Q159</t>
  </si>
  <si>
    <t>Q160</t>
  </si>
  <si>
    <t>Q161</t>
  </si>
  <si>
    <t>Q162</t>
  </si>
  <si>
    <t>Q163</t>
  </si>
  <si>
    <t>Q164</t>
  </si>
  <si>
    <t>Q165</t>
  </si>
  <si>
    <t>Q166</t>
  </si>
  <si>
    <t>Q167</t>
  </si>
  <si>
    <t>Q168</t>
  </si>
  <si>
    <t>Q169</t>
  </si>
  <si>
    <t>Q170</t>
  </si>
  <si>
    <t>Q171</t>
  </si>
  <si>
    <t>Q172</t>
  </si>
  <si>
    <t>Q173</t>
  </si>
  <si>
    <t>Q174</t>
  </si>
  <si>
    <t>Q175</t>
  </si>
  <si>
    <t>Q176</t>
  </si>
  <si>
    <t>Q177</t>
  </si>
  <si>
    <t>Q178</t>
  </si>
  <si>
    <t>Q179</t>
  </si>
  <si>
    <t>Q180</t>
  </si>
  <si>
    <t>Q181</t>
  </si>
  <si>
    <t>Q182</t>
  </si>
  <si>
    <t>Q183</t>
  </si>
  <si>
    <t>Q184</t>
  </si>
  <si>
    <t>Q185</t>
  </si>
  <si>
    <t>Q186</t>
  </si>
  <si>
    <t>Q187</t>
  </si>
  <si>
    <t>Q188</t>
  </si>
  <si>
    <t>Q189</t>
  </si>
  <si>
    <t>Q190</t>
  </si>
  <si>
    <t>Q191</t>
  </si>
  <si>
    <t>Q192</t>
  </si>
  <si>
    <t>Q193</t>
  </si>
  <si>
    <t>Q194</t>
  </si>
  <si>
    <t>Q195</t>
  </si>
  <si>
    <t>Q196</t>
  </si>
  <si>
    <t>Q197</t>
  </si>
  <si>
    <t>Q198</t>
  </si>
  <si>
    <t>Q199</t>
  </si>
  <si>
    <t>Q200</t>
  </si>
  <si>
    <t>Q201</t>
  </si>
  <si>
    <t>Q202</t>
  </si>
  <si>
    <t>Q203</t>
  </si>
  <si>
    <t>Q204</t>
  </si>
  <si>
    <t>Q205</t>
  </si>
  <si>
    <t>Q206</t>
  </si>
  <si>
    <t>Q207</t>
  </si>
  <si>
    <t>Q208</t>
  </si>
  <si>
    <t>Q209</t>
  </si>
  <si>
    <t>Q210</t>
  </si>
  <si>
    <t>Q211</t>
  </si>
  <si>
    <t>Q212</t>
  </si>
  <si>
    <t>Q213</t>
  </si>
  <si>
    <t>Q214</t>
  </si>
  <si>
    <t>Q215</t>
  </si>
  <si>
    <t>Q216</t>
  </si>
  <si>
    <t>Q217</t>
  </si>
  <si>
    <t>Q218</t>
  </si>
  <si>
    <t>Q219</t>
  </si>
  <si>
    <t>Q220</t>
  </si>
  <si>
    <t>Q221</t>
  </si>
  <si>
    <t>Q222</t>
  </si>
  <si>
    <t>Q223</t>
  </si>
  <si>
    <t>Q224</t>
  </si>
  <si>
    <t>Q225</t>
  </si>
  <si>
    <t>Q226</t>
  </si>
  <si>
    <t>Q227</t>
  </si>
  <si>
    <t>Q228</t>
  </si>
  <si>
    <t>Q229</t>
  </si>
  <si>
    <t>Q230</t>
  </si>
  <si>
    <t>Q231</t>
  </si>
  <si>
    <t>Q232</t>
  </si>
  <si>
    <t>Q233</t>
  </si>
  <si>
    <t>Q234</t>
  </si>
  <si>
    <t>Q235</t>
  </si>
  <si>
    <t>Q236</t>
  </si>
  <si>
    <t>Q237</t>
  </si>
  <si>
    <t>Q238</t>
  </si>
  <si>
    <t>Q239</t>
  </si>
  <si>
    <t>Q240</t>
  </si>
  <si>
    <t>Q241</t>
  </si>
  <si>
    <t>Q242</t>
  </si>
  <si>
    <t>Q243</t>
  </si>
  <si>
    <t>Q244</t>
  </si>
  <si>
    <t>Q245</t>
  </si>
  <si>
    <t>Q246</t>
  </si>
  <si>
    <t>Q247</t>
  </si>
  <si>
    <t>Q248</t>
  </si>
  <si>
    <t>Q249</t>
  </si>
  <si>
    <t>Q250</t>
  </si>
  <si>
    <t>Q251</t>
  </si>
  <si>
    <t>Q252</t>
  </si>
  <si>
    <t>Q253</t>
  </si>
  <si>
    <t>Q254</t>
  </si>
  <si>
    <t>Q255</t>
  </si>
  <si>
    <t>Q256</t>
  </si>
  <si>
    <t>Q257</t>
  </si>
  <si>
    <t>Q258</t>
  </si>
  <si>
    <t>Q259</t>
  </si>
  <si>
    <t>Q260</t>
  </si>
  <si>
    <t>Q261</t>
  </si>
  <si>
    <t>Q262</t>
  </si>
  <si>
    <t>Q263</t>
  </si>
  <si>
    <t>Q264</t>
  </si>
  <si>
    <t>Q265</t>
  </si>
  <si>
    <t>Q266</t>
  </si>
  <si>
    <t>Q267</t>
  </si>
  <si>
    <t>Q268</t>
  </si>
  <si>
    <t>Q269</t>
  </si>
  <si>
    <t>Q270</t>
  </si>
  <si>
    <t>Q271</t>
  </si>
  <si>
    <t>Q272</t>
  </si>
  <si>
    <t>Q273</t>
  </si>
  <si>
    <t>Q274</t>
  </si>
  <si>
    <t>Q275</t>
  </si>
  <si>
    <t>Q276</t>
  </si>
  <si>
    <t>Q277</t>
  </si>
  <si>
    <t>Q278</t>
  </si>
  <si>
    <t>Q279</t>
  </si>
  <si>
    <t>Section B</t>
  </si>
  <si>
    <t>Section C</t>
  </si>
  <si>
    <t>Insert student answers here</t>
  </si>
  <si>
    <t>E or I</t>
  </si>
  <si>
    <t>S or N</t>
  </si>
  <si>
    <t>T or F</t>
  </si>
  <si>
    <t>J or P</t>
  </si>
  <si>
    <t>Section D</t>
  </si>
  <si>
    <t>Section E</t>
  </si>
  <si>
    <t>Section F</t>
  </si>
  <si>
    <t xml:space="preserve">1a </t>
  </si>
  <si>
    <t>1b</t>
  </si>
  <si>
    <t>1c</t>
  </si>
  <si>
    <t>1d</t>
  </si>
  <si>
    <t>1e</t>
  </si>
  <si>
    <t>2a</t>
  </si>
  <si>
    <t>2b</t>
  </si>
  <si>
    <t>2c</t>
  </si>
  <si>
    <t>2d</t>
  </si>
  <si>
    <t>2e</t>
  </si>
  <si>
    <t>3a</t>
  </si>
  <si>
    <t>3b</t>
  </si>
  <si>
    <t>3c</t>
  </si>
  <si>
    <t>3d</t>
  </si>
  <si>
    <t>4a</t>
  </si>
  <si>
    <t>4b</t>
  </si>
  <si>
    <t>4c</t>
  </si>
  <si>
    <t>4d</t>
  </si>
  <si>
    <t>4e</t>
  </si>
  <si>
    <r>
      <rPr>
        <b/>
        <sz val="10"/>
        <color theme="1"/>
        <rFont val="Calibri"/>
        <family val="2"/>
        <scheme val="minor"/>
      </rPr>
      <t>Grade:</t>
    </r>
    <r>
      <rPr>
        <sz val="10"/>
        <color theme="1"/>
        <rFont val="Calibri"/>
        <family val="2"/>
        <scheme val="minor"/>
      </rPr>
      <t xml:space="preserve">  A Level</t>
    </r>
  </si>
  <si>
    <r>
      <rPr>
        <b/>
        <sz val="10"/>
        <color theme="1"/>
        <rFont val="Calibri"/>
        <family val="2"/>
        <scheme val="minor"/>
      </rPr>
      <t>Date :</t>
    </r>
    <r>
      <rPr>
        <sz val="10"/>
        <color theme="1"/>
        <rFont val="Calibri"/>
        <family val="2"/>
        <scheme val="minor"/>
      </rPr>
      <t xml:space="preserve">   July 2022</t>
    </r>
  </si>
  <si>
    <r>
      <rPr>
        <b/>
        <sz val="10"/>
        <color theme="1"/>
        <rFont val="Calibri"/>
        <family val="2"/>
        <scheme val="minor"/>
      </rPr>
      <t>School:</t>
    </r>
    <r>
      <rPr>
        <sz val="10"/>
        <color theme="1"/>
        <rFont val="Calibri"/>
        <family val="2"/>
        <scheme val="minor"/>
      </rPr>
      <t xml:space="preserve">  Nixor College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</si>
</sst>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i/>
      <sz val="11"/>
      <color theme="1"/>
      <name val="Calibri"/>
      <family val="2"/>
      <scheme val="minor"/>
    </font>
    <font>
      <b/>
      <sz val="18"/>
      <color theme="1"/>
      <name val="Calibri"/>
      <family val="2"/>
      <scheme val="minor"/>
    </font>
    <font>
      <b/>
      <sz val="11"/>
      <color theme="1"/>
      <name val="Calibri"/>
      <family val="2"/>
      <scheme val="minor"/>
    </font>
    <font>
      <b/>
      <sz val="16"/>
      <color theme="1"/>
      <name val="Calibri"/>
      <family val="2"/>
      <scheme val="minor"/>
    </font>
    <font>
      <sz val="10"/>
      <color theme="1"/>
      <name val="Calibri"/>
      <family val="2"/>
      <scheme val="minor"/>
    </font>
    <font>
      <b/>
      <sz val="10"/>
      <color theme="1"/>
      <name val="Calibri"/>
      <family val="2"/>
      <scheme val="minor"/>
    </font>
    <font>
      <i/>
      <sz val="10"/>
      <color theme="1"/>
      <name val="Calibri"/>
      <family val="2"/>
      <scheme val="minor"/>
    </font>
    <font>
      <sz val="12"/>
      <color theme="1"/>
      <name val="Calibri"/>
      <family val="2"/>
      <scheme val="minor"/>
    </font>
    <font>
      <sz val="11"/>
      <color theme="0"/>
      <name val="Calibri"/>
      <family val="2"/>
      <scheme val="minor"/>
    </font>
    <font>
      <sz val="11"/>
      <name val="Calibri"/>
      <family val="2"/>
      <scheme val="minor"/>
    </font>
    <font>
      <sz val="8"/>
      <name val="Calibri"/>
      <family val="2"/>
      <scheme val="minor"/>
    </font>
  </fonts>
  <fills count="10">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8" tint="0.59999389629810485"/>
        <bgColor indexed="64"/>
      </patternFill>
    </fill>
    <fill>
      <patternFill patternType="solid">
        <fgColor theme="3" tint="0.79998168889431442"/>
        <bgColor indexed="64"/>
      </patternFill>
    </fill>
    <fill>
      <patternFill patternType="solid">
        <fgColor theme="3" tint="0.59999389629810485"/>
        <bgColor indexed="64"/>
      </patternFill>
    </fill>
    <fill>
      <patternFill patternType="solid">
        <fgColor rgb="FFFF0000"/>
        <bgColor indexed="64"/>
      </patternFill>
    </fill>
    <fill>
      <patternFill patternType="solid">
        <fgColor theme="0" tint="-0.14999847407452621"/>
        <bgColor indexed="64"/>
      </patternFill>
    </fill>
    <fill>
      <patternFill patternType="solid">
        <fgColor rgb="FF00B0F0"/>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top style="medium">
        <color indexed="64"/>
      </top>
      <bottom style="double">
        <color indexed="64"/>
      </bottom>
      <diagonal/>
    </border>
    <border>
      <left/>
      <right style="medium">
        <color indexed="64"/>
      </right>
      <top style="medium">
        <color indexed="64"/>
      </top>
      <bottom style="double">
        <color indexed="64"/>
      </bottom>
      <diagonal/>
    </border>
    <border>
      <left style="medium">
        <color indexed="64"/>
      </left>
      <right style="hair">
        <color indexed="64"/>
      </right>
      <top/>
      <bottom/>
      <diagonal/>
    </border>
    <border>
      <left/>
      <right style="medium">
        <color indexed="64"/>
      </right>
      <top/>
      <bottom/>
      <diagonal/>
    </border>
    <border>
      <left style="medium">
        <color indexed="64"/>
      </left>
      <right style="hair">
        <color indexed="64"/>
      </right>
      <top/>
      <bottom style="medium">
        <color indexed="64"/>
      </bottom>
      <diagonal/>
    </border>
    <border>
      <left/>
      <right/>
      <top/>
      <bottom style="double">
        <color auto="1"/>
      </bottom>
      <diagonal/>
    </border>
    <border>
      <left style="medium">
        <color indexed="64"/>
      </left>
      <right style="hair">
        <color indexed="64"/>
      </right>
      <top style="double">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right/>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style="thin">
        <color indexed="64"/>
      </bottom>
      <diagonal/>
    </border>
  </borders>
  <cellStyleXfs count="1">
    <xf numFmtId="0" fontId="0" fillId="0" borderId="0"/>
  </cellStyleXfs>
  <cellXfs count="85">
    <xf numFmtId="0" fontId="0" fillId="0" borderId="0" xfId="0"/>
    <xf numFmtId="0" fontId="0" fillId="2" borderId="0" xfId="0" applyFill="1"/>
    <xf numFmtId="0" fontId="0" fillId="3" borderId="0" xfId="0" applyFill="1"/>
    <xf numFmtId="0" fontId="2" fillId="0" borderId="0" xfId="0" applyFont="1" applyAlignment="1">
      <alignment horizontal="center"/>
    </xf>
    <xf numFmtId="0" fontId="0" fillId="0" borderId="0" xfId="0" applyAlignment="1">
      <alignment wrapText="1"/>
    </xf>
    <xf numFmtId="0" fontId="0" fillId="0" borderId="6" xfId="0" applyBorder="1"/>
    <xf numFmtId="0" fontId="0" fillId="3" borderId="0" xfId="0" applyFill="1" applyAlignment="1">
      <alignment vertical="center"/>
    </xf>
    <xf numFmtId="0" fontId="0" fillId="0" borderId="0" xfId="0" applyAlignment="1">
      <alignment vertical="center"/>
    </xf>
    <xf numFmtId="0" fontId="0" fillId="0" borderId="2" xfId="0" applyBorder="1"/>
    <xf numFmtId="0" fontId="3" fillId="3" borderId="0" xfId="0" applyFont="1" applyFill="1"/>
    <xf numFmtId="0" fontId="1" fillId="3" borderId="0" xfId="0" applyFont="1" applyFill="1"/>
    <xf numFmtId="0" fontId="5" fillId="3" borderId="0" xfId="0" applyFont="1" applyFill="1"/>
    <xf numFmtId="0" fontId="5" fillId="3" borderId="0" xfId="0" applyFont="1" applyFill="1" applyAlignment="1">
      <alignment horizontal="left" vertical="center" wrapText="1"/>
    </xf>
    <xf numFmtId="0" fontId="5" fillId="3" borderId="0" xfId="0" applyFont="1" applyFill="1" applyAlignment="1">
      <alignment horizontal="left" vertical="center"/>
    </xf>
    <xf numFmtId="0" fontId="5" fillId="3" borderId="0" xfId="0" applyFont="1" applyFill="1" applyAlignment="1">
      <alignment wrapText="1"/>
    </xf>
    <xf numFmtId="0" fontId="0" fillId="5" borderId="10" xfId="0" applyFill="1" applyBorder="1"/>
    <xf numFmtId="0" fontId="0" fillId="3" borderId="1" xfId="0" applyFill="1" applyBorder="1"/>
    <xf numFmtId="0" fontId="0" fillId="3" borderId="1" xfId="0" applyFill="1" applyBorder="1" applyAlignment="1">
      <alignment horizontal="center" wrapText="1"/>
    </xf>
    <xf numFmtId="0" fontId="0" fillId="3" borderId="17" xfId="0" applyFill="1" applyBorder="1" applyAlignment="1">
      <alignment horizontal="center" wrapText="1"/>
    </xf>
    <xf numFmtId="0" fontId="0" fillId="3" borderId="0" xfId="0" applyFill="1" applyAlignment="1">
      <alignment wrapText="1"/>
    </xf>
    <xf numFmtId="0" fontId="4" fillId="3" borderId="0" xfId="0" applyFont="1" applyFill="1" applyAlignment="1">
      <alignment horizontal="center"/>
    </xf>
    <xf numFmtId="0" fontId="8" fillId="3" borderId="0" xfId="0" applyFont="1" applyFill="1" applyAlignment="1">
      <alignment horizontal="left"/>
    </xf>
    <xf numFmtId="0" fontId="0" fillId="3" borderId="0" xfId="0" applyFill="1" applyAlignment="1">
      <alignment horizontal="left"/>
    </xf>
    <xf numFmtId="0" fontId="5" fillId="0" borderId="0" xfId="0" applyFont="1" applyAlignment="1">
      <alignment horizontal="left" vertical="center" wrapText="1"/>
    </xf>
    <xf numFmtId="0" fontId="0" fillId="6" borderId="12" xfId="0" applyFill="1" applyBorder="1"/>
    <xf numFmtId="0" fontId="0" fillId="6" borderId="13" xfId="0" applyFill="1" applyBorder="1"/>
    <xf numFmtId="0" fontId="0" fillId="6" borderId="11" xfId="0" applyFill="1" applyBorder="1"/>
    <xf numFmtId="0" fontId="0" fillId="7" borderId="11" xfId="0" applyFill="1" applyBorder="1"/>
    <xf numFmtId="0" fontId="0" fillId="2" borderId="1" xfId="0" applyFill="1" applyBorder="1"/>
    <xf numFmtId="0" fontId="3" fillId="2" borderId="21" xfId="0" applyFont="1" applyFill="1" applyBorder="1" applyAlignment="1">
      <alignment horizontal="center"/>
    </xf>
    <xf numFmtId="0" fontId="3" fillId="2" borderId="22" xfId="0" applyFont="1" applyFill="1" applyBorder="1" applyAlignment="1">
      <alignment horizontal="center"/>
    </xf>
    <xf numFmtId="0" fontId="9" fillId="3" borderId="1" xfId="0" applyFont="1" applyFill="1" applyBorder="1"/>
    <xf numFmtId="0" fontId="0" fillId="7" borderId="13" xfId="0" applyFill="1" applyBorder="1"/>
    <xf numFmtId="0" fontId="10" fillId="6" borderId="13" xfId="0" applyFont="1" applyFill="1" applyBorder="1"/>
    <xf numFmtId="0" fontId="0" fillId="3" borderId="18" xfId="0" applyFill="1" applyBorder="1"/>
    <xf numFmtId="0" fontId="0" fillId="3" borderId="23" xfId="0" applyFill="1" applyBorder="1"/>
    <xf numFmtId="0" fontId="0" fillId="3" borderId="19" xfId="0" applyFill="1" applyBorder="1"/>
    <xf numFmtId="0" fontId="0" fillId="3" borderId="24" xfId="0" applyFill="1" applyBorder="1"/>
    <xf numFmtId="0" fontId="0" fillId="3" borderId="20" xfId="0" applyFill="1" applyBorder="1"/>
    <xf numFmtId="0" fontId="0" fillId="3" borderId="14" xfId="0" applyFill="1" applyBorder="1"/>
    <xf numFmtId="0" fontId="10" fillId="6" borderId="11" xfId="0" applyFont="1" applyFill="1" applyBorder="1"/>
    <xf numFmtId="0" fontId="0" fillId="3" borderId="0" xfId="0" applyFill="1" applyAlignment="1">
      <alignment horizontal="right"/>
    </xf>
    <xf numFmtId="0" fontId="5" fillId="8" borderId="0" xfId="0" applyFont="1" applyFill="1" applyAlignment="1">
      <alignment horizontal="left"/>
    </xf>
    <xf numFmtId="0" fontId="0" fillId="3" borderId="6" xfId="0" applyFill="1" applyBorder="1"/>
    <xf numFmtId="0" fontId="0" fillId="3" borderId="2" xfId="0" applyFill="1" applyBorder="1"/>
    <xf numFmtId="0" fontId="0" fillId="3" borderId="0" xfId="0" applyFill="1" applyAlignment="1">
      <alignment horizontal="center"/>
    </xf>
    <xf numFmtId="0" fontId="5" fillId="3" borderId="0" xfId="0" applyFont="1" applyFill="1" applyAlignment="1">
      <alignment horizontal="center" vertical="center"/>
    </xf>
    <xf numFmtId="0" fontId="3" fillId="0" borderId="0" xfId="0" applyFont="1" applyAlignment="1">
      <alignment horizontal="center"/>
    </xf>
    <xf numFmtId="0" fontId="3" fillId="3" borderId="0" xfId="0" applyFont="1" applyFill="1" applyAlignment="1">
      <alignment horizontal="center"/>
    </xf>
    <xf numFmtId="0" fontId="0" fillId="0" borderId="0" xfId="0" applyAlignment="1">
      <alignment horizontal="center"/>
    </xf>
    <xf numFmtId="0" fontId="3" fillId="0" borderId="0" xfId="0" applyFont="1"/>
    <xf numFmtId="0" fontId="0" fillId="5" borderId="1" xfId="0" applyFill="1" applyBorder="1" applyAlignment="1">
      <alignment horizontal="center"/>
    </xf>
    <xf numFmtId="0" fontId="0" fillId="7" borderId="1" xfId="0" applyFill="1" applyBorder="1" applyAlignment="1">
      <alignment horizontal="center"/>
    </xf>
    <xf numFmtId="0" fontId="9" fillId="3" borderId="1" xfId="0" applyFont="1" applyFill="1" applyBorder="1" applyAlignment="1">
      <alignment horizontal="center"/>
    </xf>
    <xf numFmtId="0" fontId="0" fillId="2" borderId="1" xfId="0" applyFill="1" applyBorder="1" applyAlignment="1">
      <alignment horizontal="center"/>
    </xf>
    <xf numFmtId="0" fontId="0" fillId="5" borderId="28" xfId="0" applyFill="1" applyBorder="1" applyAlignment="1">
      <alignment horizontal="center"/>
    </xf>
    <xf numFmtId="0" fontId="0" fillId="5" borderId="29" xfId="0" applyFill="1" applyBorder="1" applyAlignment="1">
      <alignment horizontal="center"/>
    </xf>
    <xf numFmtId="0" fontId="0" fillId="5" borderId="26" xfId="0" applyFill="1" applyBorder="1" applyAlignment="1">
      <alignment horizontal="center"/>
    </xf>
    <xf numFmtId="0" fontId="0" fillId="5" borderId="27" xfId="0" applyFill="1" applyBorder="1" applyAlignment="1">
      <alignment horizontal="center"/>
    </xf>
    <xf numFmtId="0" fontId="0" fillId="4" borderId="0" xfId="0" applyFill="1" applyAlignment="1">
      <alignment horizontal="center"/>
    </xf>
    <xf numFmtId="0" fontId="0" fillId="5" borderId="25" xfId="0" applyFill="1" applyBorder="1" applyAlignment="1">
      <alignment horizontal="center"/>
    </xf>
    <xf numFmtId="0" fontId="3" fillId="0" borderId="30" xfId="0" applyFont="1" applyBorder="1"/>
    <xf numFmtId="0" fontId="3" fillId="9" borderId="30" xfId="0" applyFont="1" applyFill="1" applyBorder="1"/>
    <xf numFmtId="0" fontId="3" fillId="0" borderId="1" xfId="0" applyFont="1" applyBorder="1" applyAlignment="1">
      <alignment horizontal="center"/>
    </xf>
    <xf numFmtId="0" fontId="3" fillId="0" borderId="32" xfId="0" applyFont="1" applyBorder="1" applyAlignment="1">
      <alignment horizontal="center"/>
    </xf>
    <xf numFmtId="0" fontId="3" fillId="0" borderId="21" xfId="0" applyFont="1" applyBorder="1" applyAlignment="1">
      <alignment horizontal="center"/>
    </xf>
    <xf numFmtId="0" fontId="3" fillId="0" borderId="22" xfId="0" applyFont="1" applyBorder="1" applyAlignment="1">
      <alignment horizontal="center"/>
    </xf>
    <xf numFmtId="0" fontId="4" fillId="9" borderId="18" xfId="0" applyFont="1" applyFill="1" applyBorder="1" applyAlignment="1">
      <alignment horizontal="center" vertical="center"/>
    </xf>
    <xf numFmtId="0" fontId="4" fillId="9" borderId="23" xfId="0" applyFont="1" applyFill="1" applyBorder="1" applyAlignment="1">
      <alignment horizontal="center" vertical="center"/>
    </xf>
    <xf numFmtId="0" fontId="4" fillId="9" borderId="19" xfId="0" applyFont="1" applyFill="1" applyBorder="1" applyAlignment="1">
      <alignment horizontal="center" vertical="center"/>
    </xf>
    <xf numFmtId="0" fontId="4" fillId="9" borderId="20" xfId="0" applyFont="1" applyFill="1" applyBorder="1" applyAlignment="1">
      <alignment horizontal="center" vertical="center"/>
    </xf>
    <xf numFmtId="0" fontId="4" fillId="9" borderId="14" xfId="0" applyFont="1" applyFill="1" applyBorder="1" applyAlignment="1">
      <alignment horizontal="center" vertical="center"/>
    </xf>
    <xf numFmtId="0" fontId="4" fillId="9" borderId="2" xfId="0" applyFont="1" applyFill="1" applyBorder="1" applyAlignment="1">
      <alignment horizontal="center" vertical="center"/>
    </xf>
    <xf numFmtId="0" fontId="3" fillId="0" borderId="31" xfId="0" applyFont="1" applyBorder="1" applyAlignment="1">
      <alignment horizontal="center"/>
    </xf>
    <xf numFmtId="0" fontId="5" fillId="0" borderId="9" xfId="0" applyFont="1" applyBorder="1" applyAlignment="1">
      <alignment horizontal="left" vertical="center" wrapText="1"/>
    </xf>
    <xf numFmtId="0" fontId="5" fillId="0" borderId="5" xfId="0" applyFont="1" applyBorder="1" applyAlignment="1">
      <alignment horizontal="left" vertical="center" wrapText="1"/>
    </xf>
    <xf numFmtId="0" fontId="5" fillId="0" borderId="7" xfId="0" applyFont="1" applyBorder="1" applyAlignment="1">
      <alignment horizontal="left" vertical="center" wrapText="1"/>
    </xf>
    <xf numFmtId="0" fontId="3" fillId="8" borderId="3" xfId="0" applyFont="1" applyFill="1" applyBorder="1" applyAlignment="1">
      <alignment horizontal="center" vertical="center"/>
    </xf>
    <xf numFmtId="0" fontId="3" fillId="8" borderId="4" xfId="0" applyFont="1" applyFill="1" applyBorder="1" applyAlignment="1">
      <alignment horizontal="center" vertical="center"/>
    </xf>
    <xf numFmtId="0" fontId="4" fillId="0" borderId="8" xfId="0" applyFont="1" applyBorder="1" applyAlignment="1">
      <alignment horizontal="center"/>
    </xf>
    <xf numFmtId="0" fontId="5" fillId="0" borderId="9" xfId="0" applyFont="1" applyBorder="1" applyAlignment="1">
      <alignment horizontal="left" vertical="center" wrapText="1" indent="1"/>
    </xf>
    <xf numFmtId="0" fontId="5" fillId="0" borderId="7" xfId="0" applyFont="1" applyBorder="1" applyAlignment="1">
      <alignment horizontal="left" vertical="center" wrapText="1" indent="1"/>
    </xf>
    <xf numFmtId="0" fontId="4" fillId="3" borderId="0" xfId="0" applyFont="1" applyFill="1" applyAlignment="1">
      <alignment horizontal="center"/>
    </xf>
    <xf numFmtId="0" fontId="3" fillId="3" borderId="15" xfId="0" applyFont="1" applyFill="1" applyBorder="1" applyAlignment="1">
      <alignment horizontal="center"/>
    </xf>
    <xf numFmtId="0" fontId="3" fillId="3" borderId="16" xfId="0" applyFont="1" applyFill="1" applyBorder="1" applyAlignment="1">
      <alignment horizontal="center"/>
    </xf>
  </cellXfs>
  <cellStyles count="1">
    <cellStyle name="Normal" xfId="0" builtinId="0"/>
  </cellStyles>
  <dxfs count="0"/>
  <tableStyles count="0" defaultTableStyle="TableStyleMedium9" defaultPivotStyle="PivotStyleLight16"/>
  <colors>
    <mruColors>
      <color rgb="FFEB222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28"/>
    </mc:Choice>
    <mc:Fallback>
      <c:style val="28"/>
    </mc:Fallback>
  </mc:AlternateContent>
  <c:chart>
    <c:autoTitleDeleted val="0"/>
    <c:plotArea>
      <c:layout/>
      <c:barChart>
        <c:barDir val="col"/>
        <c:grouping val="clustered"/>
        <c:varyColors val="0"/>
        <c:ser>
          <c:idx val="0"/>
          <c:order val="0"/>
          <c:invertIfNegative val="0"/>
          <c:cat>
            <c:numRef>
              <c:f>('SEC A &amp; B '!$A$6,'SEC A &amp; B '!$A$32,'SEC A &amp; B '!$A$37,'SEC A &amp; B '!$A$54,'SEC A &amp; B '!$A$70,'SEC A &amp; B '!$A$86)</c:f>
              <c:numCache>
                <c:formatCode>General</c:formatCode>
                <c:ptCount val="6"/>
              </c:numCache>
            </c:numRef>
          </c:cat>
          <c:val>
            <c:numRef>
              <c:f>('SEC A &amp; B '!$E$19,'SEC A &amp; B '!$E$35,'SEC A &amp; B '!$E$51,'SEC A &amp; B '!$E$67,'SEC A &amp; B '!$E$83,'SEC A &amp; B '!$E$99)</c:f>
              <c:numCache>
                <c:formatCode>General</c:formatCode>
                <c:ptCount val="6"/>
                <c:pt idx="0">
                  <c:v>9</c:v>
                </c:pt>
                <c:pt idx="1">
                  <c:v>3</c:v>
                </c:pt>
                <c:pt idx="2">
                  <c:v>6</c:v>
                </c:pt>
                <c:pt idx="3">
                  <c:v>6</c:v>
                </c:pt>
                <c:pt idx="4">
                  <c:v>8</c:v>
                </c:pt>
                <c:pt idx="5">
                  <c:v>10</c:v>
                </c:pt>
              </c:numCache>
            </c:numRef>
          </c:val>
          <c:extLst>
            <c:ext xmlns:c16="http://schemas.microsoft.com/office/drawing/2014/chart" uri="{C3380CC4-5D6E-409C-BE32-E72D297353CC}">
              <c16:uniqueId val="{00000000-C585-4AA0-8B25-2719092DEEC4}"/>
            </c:ext>
          </c:extLst>
        </c:ser>
        <c:dLbls>
          <c:showLegendKey val="0"/>
          <c:showVal val="0"/>
          <c:showCatName val="0"/>
          <c:showSerName val="0"/>
          <c:showPercent val="0"/>
          <c:showBubbleSize val="0"/>
        </c:dLbls>
        <c:gapWidth val="150"/>
        <c:axId val="86168320"/>
        <c:axId val="86169856"/>
      </c:barChart>
      <c:lineChart>
        <c:grouping val="standard"/>
        <c:varyColors val="0"/>
        <c:ser>
          <c:idx val="1"/>
          <c:order val="1"/>
          <c:marker>
            <c:symbol val="none"/>
          </c:marker>
          <c:val>
            <c:numRef>
              <c:f>('SEC A &amp; B '!$F$19,'SEC A &amp; B '!$F$35,'SEC A &amp; B '!$F$51,'SEC A &amp; B '!$F$67,'SEC A &amp; B '!$F$83,'SEC A &amp; B '!$F$99)</c:f>
              <c:numCache>
                <c:formatCode>General</c:formatCode>
                <c:ptCount val="6"/>
                <c:pt idx="0">
                  <c:v>9</c:v>
                </c:pt>
                <c:pt idx="1">
                  <c:v>3</c:v>
                </c:pt>
                <c:pt idx="2">
                  <c:v>6</c:v>
                </c:pt>
                <c:pt idx="3">
                  <c:v>6</c:v>
                </c:pt>
                <c:pt idx="4">
                  <c:v>8</c:v>
                </c:pt>
                <c:pt idx="5">
                  <c:v>10</c:v>
                </c:pt>
              </c:numCache>
            </c:numRef>
          </c:val>
          <c:smooth val="0"/>
          <c:extLst>
            <c:ext xmlns:c16="http://schemas.microsoft.com/office/drawing/2014/chart" uri="{C3380CC4-5D6E-409C-BE32-E72D297353CC}">
              <c16:uniqueId val="{00000001-C585-4AA0-8B25-2719092DEEC4}"/>
            </c:ext>
          </c:extLst>
        </c:ser>
        <c:dLbls>
          <c:showLegendKey val="0"/>
          <c:showVal val="0"/>
          <c:showCatName val="0"/>
          <c:showSerName val="0"/>
          <c:showPercent val="0"/>
          <c:showBubbleSize val="0"/>
        </c:dLbls>
        <c:marker val="1"/>
        <c:smooth val="0"/>
        <c:axId val="86168320"/>
        <c:axId val="86169856"/>
      </c:lineChart>
      <c:catAx>
        <c:axId val="86168320"/>
        <c:scaling>
          <c:orientation val="minMax"/>
        </c:scaling>
        <c:delete val="0"/>
        <c:axPos val="b"/>
        <c:numFmt formatCode="General" sourceLinked="1"/>
        <c:majorTickMark val="out"/>
        <c:minorTickMark val="none"/>
        <c:tickLblPos val="nextTo"/>
        <c:crossAx val="86169856"/>
        <c:crosses val="autoZero"/>
        <c:auto val="1"/>
        <c:lblAlgn val="ctr"/>
        <c:lblOffset val="100"/>
        <c:noMultiLvlLbl val="0"/>
      </c:catAx>
      <c:valAx>
        <c:axId val="86169856"/>
        <c:scaling>
          <c:orientation val="minMax"/>
        </c:scaling>
        <c:delete val="0"/>
        <c:axPos val="l"/>
        <c:majorGridlines/>
        <c:numFmt formatCode="General" sourceLinked="1"/>
        <c:majorTickMark val="out"/>
        <c:minorTickMark val="none"/>
        <c:tickLblPos val="nextTo"/>
        <c:crossAx val="86168320"/>
        <c:crosses val="autoZero"/>
        <c:crossBetween val="between"/>
      </c:valAx>
    </c:plotArea>
    <c:plotVisOnly val="1"/>
    <c:dispBlanksAs val="gap"/>
    <c:showDLblsOverMax val="0"/>
  </c:chart>
  <c:spPr>
    <a:ln>
      <a:noFill/>
    </a:ln>
  </c:spPr>
  <c:printSettings>
    <c:headerFooter/>
    <c:pageMargins b="0.75000000000000322" l="0.70000000000000062" r="0.70000000000000062" t="0.75000000000000322" header="0.30000000000000032" footer="0.3000000000000003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28"/>
    </mc:Choice>
    <mc:Fallback>
      <c:style val="28"/>
    </mc:Fallback>
  </mc:AlternateContent>
  <c:chart>
    <c:autoTitleDeleted val="1"/>
    <c:plotArea>
      <c:layout>
        <c:manualLayout>
          <c:layoutTarget val="inner"/>
          <c:xMode val="edge"/>
          <c:yMode val="edge"/>
          <c:x val="0.26900809273840781"/>
          <c:y val="7.9652595508894738E-2"/>
          <c:w val="0.52031714785651395"/>
          <c:h val="0.85163021289005936"/>
        </c:manualLayout>
      </c:layout>
      <c:radarChart>
        <c:radarStyle val="marker"/>
        <c:varyColors val="0"/>
        <c:ser>
          <c:idx val="0"/>
          <c:order val="0"/>
          <c:cat>
            <c:numRef>
              <c:f>('SEC A &amp; B '!$A$6,'SEC A &amp; B '!$A$32,'SEC A &amp; B '!$A$37,'SEC A &amp; B '!$A$54,'SEC A &amp; B '!$A$70,'SEC A &amp; B '!$A$86)</c:f>
              <c:numCache>
                <c:formatCode>General</c:formatCode>
                <c:ptCount val="6"/>
              </c:numCache>
            </c:numRef>
          </c:cat>
          <c:val>
            <c:numRef>
              <c:f>('SEC A &amp; B '!$E$19,'SEC A &amp; B '!$E$35,'SEC A &amp; B '!$E$51,'SEC A &amp; B '!$E$67,'SEC A &amp; B '!$E$83,'SEC A &amp; B '!$E$99)</c:f>
              <c:numCache>
                <c:formatCode>General</c:formatCode>
                <c:ptCount val="6"/>
                <c:pt idx="0">
                  <c:v>9</c:v>
                </c:pt>
                <c:pt idx="1">
                  <c:v>3</c:v>
                </c:pt>
                <c:pt idx="2">
                  <c:v>6</c:v>
                </c:pt>
                <c:pt idx="3">
                  <c:v>6</c:v>
                </c:pt>
                <c:pt idx="4">
                  <c:v>8</c:v>
                </c:pt>
                <c:pt idx="5">
                  <c:v>10</c:v>
                </c:pt>
              </c:numCache>
            </c:numRef>
          </c:val>
          <c:extLst>
            <c:ext xmlns:c16="http://schemas.microsoft.com/office/drawing/2014/chart" uri="{C3380CC4-5D6E-409C-BE32-E72D297353CC}">
              <c16:uniqueId val="{00000000-206C-49A5-93FF-BE0E6E302D9F}"/>
            </c:ext>
          </c:extLst>
        </c:ser>
        <c:dLbls>
          <c:showLegendKey val="0"/>
          <c:showVal val="0"/>
          <c:showCatName val="0"/>
          <c:showSerName val="0"/>
          <c:showPercent val="0"/>
          <c:showBubbleSize val="0"/>
        </c:dLbls>
        <c:axId val="92208512"/>
        <c:axId val="98382976"/>
      </c:radarChart>
      <c:catAx>
        <c:axId val="92208512"/>
        <c:scaling>
          <c:orientation val="minMax"/>
        </c:scaling>
        <c:delete val="0"/>
        <c:axPos val="b"/>
        <c:majorGridlines/>
        <c:numFmt formatCode="General" sourceLinked="1"/>
        <c:majorTickMark val="none"/>
        <c:minorTickMark val="none"/>
        <c:tickLblPos val="nextTo"/>
        <c:crossAx val="98382976"/>
        <c:crosses val="autoZero"/>
        <c:auto val="1"/>
        <c:lblAlgn val="ctr"/>
        <c:lblOffset val="100"/>
        <c:noMultiLvlLbl val="0"/>
      </c:catAx>
      <c:valAx>
        <c:axId val="98382976"/>
        <c:scaling>
          <c:orientation val="minMax"/>
        </c:scaling>
        <c:delete val="0"/>
        <c:axPos val="l"/>
        <c:majorGridlines/>
        <c:numFmt formatCode="General" sourceLinked="1"/>
        <c:majorTickMark val="out"/>
        <c:minorTickMark val="none"/>
        <c:tickLblPos val="nextTo"/>
        <c:crossAx val="92208512"/>
        <c:crosses val="autoZero"/>
        <c:crossBetween val="between"/>
      </c:valAx>
    </c:plotArea>
    <c:plotVisOnly val="1"/>
    <c:dispBlanksAs val="gap"/>
    <c:showDLblsOverMax val="0"/>
  </c:chart>
  <c:spPr>
    <a:ln>
      <a:noFill/>
    </a:ln>
  </c:spPr>
  <c:printSettings>
    <c:headerFooter/>
    <c:pageMargins b="0.75000000000000322" l="0.70000000000000062" r="0.70000000000000062" t="0.75000000000000322" header="0.30000000000000032" footer="0.3000000000000003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28"/>
    </mc:Choice>
    <mc:Fallback>
      <c:style val="28"/>
    </mc:Fallback>
  </mc:AlternateContent>
  <c:chart>
    <c:autoTitleDeleted val="0"/>
    <c:view3D>
      <c:rotX val="15"/>
      <c:rotY val="20"/>
      <c:rAngAx val="1"/>
    </c:view3D>
    <c:floor>
      <c:thickness val="0"/>
    </c:floor>
    <c:sideWall>
      <c:thickness val="0"/>
      <c:spPr>
        <a:noFill/>
        <a:ln w="25400">
          <a:noFill/>
        </a:ln>
      </c:spPr>
    </c:sideWall>
    <c:backWall>
      <c:thickness val="0"/>
      <c:spPr>
        <a:noFill/>
        <a:ln w="25400">
          <a:noFill/>
        </a:ln>
      </c:spPr>
    </c:backWall>
    <c:plotArea>
      <c:layout/>
      <c:bar3DChart>
        <c:barDir val="col"/>
        <c:grouping val="clustered"/>
        <c:varyColors val="0"/>
        <c:ser>
          <c:idx val="0"/>
          <c:order val="0"/>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'SEC C &amp; D'!$H$3:$H$16</c:f>
              <c:strCache>
                <c:ptCount val="14"/>
                <c:pt idx="0">
                  <c:v>E</c:v>
                </c:pt>
                <c:pt idx="1">
                  <c:v>I</c:v>
                </c:pt>
                <c:pt idx="4">
                  <c:v>S</c:v>
                </c:pt>
                <c:pt idx="5">
                  <c:v>N</c:v>
                </c:pt>
                <c:pt idx="8">
                  <c:v>T</c:v>
                </c:pt>
                <c:pt idx="9">
                  <c:v>F</c:v>
                </c:pt>
                <c:pt idx="12">
                  <c:v>J</c:v>
                </c:pt>
                <c:pt idx="13">
                  <c:v>P</c:v>
                </c:pt>
              </c:strCache>
            </c:strRef>
          </c:cat>
          <c:val>
            <c:numRef>
              <c:f>'SEC C &amp; D'!$I$3:$I$16</c:f>
              <c:numCache>
                <c:formatCode>General</c:formatCode>
                <c:ptCount val="14"/>
                <c:pt idx="0">
                  <c:v>10</c:v>
                </c:pt>
                <c:pt idx="1">
                  <c:v>21</c:v>
                </c:pt>
                <c:pt idx="4">
                  <c:v>25</c:v>
                </c:pt>
                <c:pt idx="5">
                  <c:v>8</c:v>
                </c:pt>
                <c:pt idx="8">
                  <c:v>16</c:v>
                </c:pt>
                <c:pt idx="9">
                  <c:v>19</c:v>
                </c:pt>
                <c:pt idx="12">
                  <c:v>24</c:v>
                </c:pt>
                <c:pt idx="13">
                  <c:v>9</c:v>
                </c:pt>
              </c:numCache>
            </c:numRef>
          </c:val>
          <c:extLst>
            <c:ext xmlns:c16="http://schemas.microsoft.com/office/drawing/2014/chart" uri="{C3380CC4-5D6E-409C-BE32-E72D297353CC}">
              <c16:uniqueId val="{00000000-2A7F-45C4-90E2-FC1B9C2B51EF}"/>
            </c:ext>
          </c:extLst>
        </c:ser>
        <c:dLbls>
          <c:showLegendKey val="0"/>
          <c:showVal val="1"/>
          <c:showCatName val="0"/>
          <c:showSerName val="0"/>
          <c:showPercent val="0"/>
          <c:showBubbleSize val="0"/>
        </c:dLbls>
        <c:gapWidth val="150"/>
        <c:shape val="cylinder"/>
        <c:axId val="82776448"/>
        <c:axId val="82777984"/>
        <c:axId val="0"/>
      </c:bar3DChart>
      <c:catAx>
        <c:axId val="82776448"/>
        <c:scaling>
          <c:orientation val="minMax"/>
        </c:scaling>
        <c:delete val="0"/>
        <c:axPos val="b"/>
        <c:numFmt formatCode="General" sourceLinked="1"/>
        <c:majorTickMark val="out"/>
        <c:minorTickMark val="none"/>
        <c:tickLblPos val="nextTo"/>
        <c:crossAx val="82777984"/>
        <c:crosses val="autoZero"/>
        <c:auto val="1"/>
        <c:lblAlgn val="ctr"/>
        <c:lblOffset val="100"/>
        <c:noMultiLvlLbl val="0"/>
      </c:catAx>
      <c:valAx>
        <c:axId val="82777984"/>
        <c:scaling>
          <c:orientation val="minMax"/>
        </c:scaling>
        <c:delete val="1"/>
        <c:axPos val="l"/>
        <c:numFmt formatCode="General" sourceLinked="1"/>
        <c:majorTickMark val="out"/>
        <c:minorTickMark val="none"/>
        <c:tickLblPos val="nextTo"/>
        <c:crossAx val="82776448"/>
        <c:crosses val="autoZero"/>
        <c:crossBetween val="between"/>
      </c:valAx>
    </c:plotArea>
    <c:plotVisOnly val="1"/>
    <c:dispBlanksAs val="gap"/>
    <c:showDLblsOverMax val="0"/>
  </c:chart>
  <c:spPr>
    <a:ln>
      <a:noFill/>
    </a:ln>
  </c:spPr>
  <c:printSettings>
    <c:headerFooter/>
    <c:pageMargins b="0.75000000000000311" l="0.70000000000000062" r="0.70000000000000062" t="0.75000000000000311" header="0.30000000000000032" footer="0.3000000000000003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28"/>
    </mc:Choice>
    <mc:Fallback>
      <c:style val="28"/>
    </mc:Fallback>
  </mc:AlternateContent>
  <c:chart>
    <c:autoTitleDeleted val="0"/>
    <c:plotArea>
      <c:layout/>
      <c:radarChart>
        <c:radarStyle val="marker"/>
        <c:varyColors val="0"/>
        <c:ser>
          <c:idx val="0"/>
          <c:order val="0"/>
          <c:cat>
            <c:strRef>
              <c:f>'SEC C &amp; D'!$H$3:$H$43</c:f>
              <c:strCache>
                <c:ptCount val="22"/>
                <c:pt idx="0">
                  <c:v>E</c:v>
                </c:pt>
                <c:pt idx="1">
                  <c:v>I</c:v>
                </c:pt>
                <c:pt idx="4">
                  <c:v>S</c:v>
                </c:pt>
                <c:pt idx="5">
                  <c:v>N</c:v>
                </c:pt>
                <c:pt idx="8">
                  <c:v>T</c:v>
                </c:pt>
                <c:pt idx="9">
                  <c:v>F</c:v>
                </c:pt>
                <c:pt idx="12">
                  <c:v>J</c:v>
                </c:pt>
                <c:pt idx="13">
                  <c:v>P</c:v>
                </c:pt>
                <c:pt idx="18">
                  <c:v>21</c:v>
                </c:pt>
                <c:pt idx="19">
                  <c:v>25</c:v>
                </c:pt>
                <c:pt idx="20">
                  <c:v>19</c:v>
                </c:pt>
                <c:pt idx="21">
                  <c:v>24</c:v>
                </c:pt>
              </c:strCache>
            </c:strRef>
          </c:cat>
          <c:val>
            <c:numRef>
              <c:f>'SEC C &amp; D'!$I$3:$I$43</c:f>
              <c:numCache>
                <c:formatCode>General</c:formatCode>
                <c:ptCount val="41"/>
                <c:pt idx="0">
                  <c:v>10</c:v>
                </c:pt>
                <c:pt idx="1">
                  <c:v>21</c:v>
                </c:pt>
                <c:pt idx="4">
                  <c:v>25</c:v>
                </c:pt>
                <c:pt idx="5">
                  <c:v>8</c:v>
                </c:pt>
                <c:pt idx="8">
                  <c:v>16</c:v>
                </c:pt>
                <c:pt idx="9">
                  <c:v>19</c:v>
                </c:pt>
                <c:pt idx="12">
                  <c:v>24</c:v>
                </c:pt>
                <c:pt idx="13">
                  <c:v>9</c:v>
                </c:pt>
                <c:pt idx="18">
                  <c:v>0</c:v>
                </c:pt>
                <c:pt idx="19">
                  <c:v>0</c:v>
                </c:pt>
                <c:pt idx="20">
                  <c:v>0</c:v>
                </c:pt>
                <c:pt idx="21">
                  <c:v>0</c:v>
                </c:pt>
                <c:pt idx="23">
                  <c:v>0</c:v>
                </c:pt>
              </c:numCache>
            </c:numRef>
          </c:val>
          <c:extLst>
            <c:ext xmlns:c16="http://schemas.microsoft.com/office/drawing/2014/chart" uri="{C3380CC4-5D6E-409C-BE32-E72D297353CC}">
              <c16:uniqueId val="{00000000-D0CE-43D0-ADE9-110CB4F60EA2}"/>
            </c:ext>
          </c:extLst>
        </c:ser>
        <c:dLbls>
          <c:showLegendKey val="0"/>
          <c:showVal val="0"/>
          <c:showCatName val="0"/>
          <c:showSerName val="0"/>
          <c:showPercent val="0"/>
          <c:showBubbleSize val="0"/>
        </c:dLbls>
        <c:axId val="82806272"/>
        <c:axId val="82807808"/>
      </c:radarChart>
      <c:catAx>
        <c:axId val="82806272"/>
        <c:scaling>
          <c:orientation val="minMax"/>
        </c:scaling>
        <c:delete val="0"/>
        <c:axPos val="b"/>
        <c:majorGridlines/>
        <c:numFmt formatCode="General" sourceLinked="0"/>
        <c:majorTickMark val="out"/>
        <c:minorTickMark val="none"/>
        <c:tickLblPos val="nextTo"/>
        <c:crossAx val="82807808"/>
        <c:crosses val="autoZero"/>
        <c:auto val="1"/>
        <c:lblAlgn val="ctr"/>
        <c:lblOffset val="100"/>
        <c:noMultiLvlLbl val="0"/>
      </c:catAx>
      <c:valAx>
        <c:axId val="82807808"/>
        <c:scaling>
          <c:orientation val="minMax"/>
        </c:scaling>
        <c:delete val="0"/>
        <c:axPos val="l"/>
        <c:majorGridlines/>
        <c:numFmt formatCode="General" sourceLinked="1"/>
        <c:majorTickMark val="out"/>
        <c:minorTickMark val="none"/>
        <c:tickLblPos val="nextTo"/>
        <c:crossAx val="82806272"/>
        <c:crosses val="autoZero"/>
        <c:crossBetween val="between"/>
      </c:valAx>
    </c:plotArea>
    <c:plotVisOnly val="1"/>
    <c:dispBlanksAs val="gap"/>
    <c:showDLblsOverMax val="0"/>
  </c:chart>
  <c:spPr>
    <a:ln>
      <a:noFill/>
    </a:ln>
  </c:spPr>
  <c:printSettings>
    <c:headerFooter/>
    <c:pageMargins b="0.75000000000000333" l="0.70000000000000062" r="0.70000000000000062" t="0.75000000000000333" header="0.30000000000000032" footer="0.3000000000000003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28"/>
    </mc:Choice>
    <mc:Fallback>
      <c:style val="28"/>
    </mc:Fallback>
  </mc:AlternateContent>
  <c:chart>
    <c:autoTitleDeleted val="0"/>
    <c:view3D>
      <c:rotX val="15"/>
      <c:rotY val="20"/>
      <c:rAngAx val="1"/>
    </c:view3D>
    <c:floor>
      <c:thickness val="0"/>
    </c:floor>
    <c:sideWall>
      <c:thickness val="0"/>
    </c:sideWall>
    <c:backWall>
      <c:thickness val="0"/>
    </c:backWall>
    <c:plotArea>
      <c:layout/>
      <c:bar3DChart>
        <c:barDir val="col"/>
        <c:grouping val="clustered"/>
        <c:varyColors val="0"/>
        <c:ser>
          <c:idx val="0"/>
          <c:order val="0"/>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SECE!$C$4:$C$19</c:f>
              <c:strCache>
                <c:ptCount val="16"/>
                <c:pt idx="0">
                  <c:v>A</c:v>
                </c:pt>
                <c:pt idx="1">
                  <c:v>C</c:v>
                </c:pt>
                <c:pt idx="2">
                  <c:v>V</c:v>
                </c:pt>
                <c:pt idx="3">
                  <c:v>B</c:v>
                </c:pt>
                <c:pt idx="4">
                  <c:v>E</c:v>
                </c:pt>
                <c:pt idx="5">
                  <c:v>F</c:v>
                </c:pt>
                <c:pt idx="6">
                  <c:v>G</c:v>
                </c:pt>
                <c:pt idx="7">
                  <c:v>H</c:v>
                </c:pt>
                <c:pt idx="8">
                  <c:v>T</c:v>
                </c:pt>
                <c:pt idx="9">
                  <c:v>S</c:v>
                </c:pt>
                <c:pt idx="10">
                  <c:v>I</c:v>
                </c:pt>
                <c:pt idx="11">
                  <c:v>P</c:v>
                </c:pt>
                <c:pt idx="12">
                  <c:v>M</c:v>
                </c:pt>
                <c:pt idx="13">
                  <c:v>N</c:v>
                </c:pt>
                <c:pt idx="14">
                  <c:v>Y</c:v>
                </c:pt>
                <c:pt idx="15">
                  <c:v>D</c:v>
                </c:pt>
              </c:strCache>
            </c:strRef>
          </c:cat>
          <c:val>
            <c:numRef>
              <c:f>SECE!$B$4:$B$19</c:f>
              <c:numCache>
                <c:formatCode>General</c:formatCode>
                <c:ptCount val="16"/>
                <c:pt idx="0">
                  <c:v>1</c:v>
                </c:pt>
                <c:pt idx="1">
                  <c:v>6</c:v>
                </c:pt>
                <c:pt idx="2">
                  <c:v>3</c:v>
                </c:pt>
                <c:pt idx="3">
                  <c:v>7</c:v>
                </c:pt>
                <c:pt idx="4">
                  <c:v>4</c:v>
                </c:pt>
                <c:pt idx="5">
                  <c:v>5</c:v>
                </c:pt>
                <c:pt idx="6">
                  <c:v>5</c:v>
                </c:pt>
                <c:pt idx="7">
                  <c:v>5</c:v>
                </c:pt>
                <c:pt idx="8">
                  <c:v>5</c:v>
                </c:pt>
                <c:pt idx="9">
                  <c:v>4</c:v>
                </c:pt>
                <c:pt idx="10">
                  <c:v>1</c:v>
                </c:pt>
                <c:pt idx="11">
                  <c:v>3</c:v>
                </c:pt>
                <c:pt idx="12">
                  <c:v>8</c:v>
                </c:pt>
                <c:pt idx="13">
                  <c:v>4</c:v>
                </c:pt>
                <c:pt idx="14">
                  <c:v>3</c:v>
                </c:pt>
                <c:pt idx="15">
                  <c:v>5</c:v>
                </c:pt>
              </c:numCache>
            </c:numRef>
          </c:val>
          <c:extLst>
            <c:ext xmlns:c16="http://schemas.microsoft.com/office/drawing/2014/chart" uri="{C3380CC4-5D6E-409C-BE32-E72D297353CC}">
              <c16:uniqueId val="{00000000-5F58-48F8-BAEA-15BE9FBF7E01}"/>
            </c:ext>
          </c:extLst>
        </c:ser>
        <c:dLbls>
          <c:showLegendKey val="0"/>
          <c:showVal val="1"/>
          <c:showCatName val="0"/>
          <c:showSerName val="0"/>
          <c:showPercent val="0"/>
          <c:showBubbleSize val="0"/>
        </c:dLbls>
        <c:gapWidth val="150"/>
        <c:shape val="pyramid"/>
        <c:axId val="82870272"/>
        <c:axId val="82871808"/>
        <c:axId val="0"/>
      </c:bar3DChart>
      <c:catAx>
        <c:axId val="82870272"/>
        <c:scaling>
          <c:orientation val="minMax"/>
        </c:scaling>
        <c:delete val="0"/>
        <c:axPos val="b"/>
        <c:numFmt formatCode="General" sourceLinked="0"/>
        <c:majorTickMark val="out"/>
        <c:minorTickMark val="none"/>
        <c:tickLblPos val="nextTo"/>
        <c:crossAx val="82871808"/>
        <c:crosses val="autoZero"/>
        <c:auto val="1"/>
        <c:lblAlgn val="ctr"/>
        <c:lblOffset val="100"/>
        <c:noMultiLvlLbl val="0"/>
      </c:catAx>
      <c:valAx>
        <c:axId val="82871808"/>
        <c:scaling>
          <c:orientation val="minMax"/>
        </c:scaling>
        <c:delete val="0"/>
        <c:axPos val="l"/>
        <c:majorGridlines/>
        <c:numFmt formatCode="General" sourceLinked="1"/>
        <c:majorTickMark val="out"/>
        <c:minorTickMark val="none"/>
        <c:tickLblPos val="nextTo"/>
        <c:crossAx val="82870272"/>
        <c:crosses val="autoZero"/>
        <c:crossBetween val="between"/>
      </c:valAx>
    </c:plotArea>
    <c:plotVisOnly val="1"/>
    <c:dispBlanksAs val="gap"/>
    <c:showDLblsOverMax val="0"/>
  </c:chart>
  <c:printSettings>
    <c:headerFooter/>
    <c:pageMargins b="0.75000000000000311" l="0.70000000000000062" r="0.70000000000000062" t="0.75000000000000311" header="0.30000000000000032" footer="0.3000000000000003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28"/>
    </mc:Choice>
    <mc:Fallback>
      <c:style val="28"/>
    </mc:Fallback>
  </mc:AlternateContent>
  <c:chart>
    <c:autoTitleDeleted val="0"/>
    <c:plotArea>
      <c:layout/>
      <c:lineChart>
        <c:grouping val="stacked"/>
        <c:varyColors val="0"/>
        <c:ser>
          <c:idx val="0"/>
          <c:order val="0"/>
          <c:marker>
            <c:symbol val="none"/>
          </c:marker>
          <c:cat>
            <c:strRef>
              <c:f>SECE!$C$4:$C$19</c:f>
              <c:strCache>
                <c:ptCount val="16"/>
                <c:pt idx="0">
                  <c:v>A</c:v>
                </c:pt>
                <c:pt idx="1">
                  <c:v>C</c:v>
                </c:pt>
                <c:pt idx="2">
                  <c:v>V</c:v>
                </c:pt>
                <c:pt idx="3">
                  <c:v>B</c:v>
                </c:pt>
                <c:pt idx="4">
                  <c:v>E</c:v>
                </c:pt>
                <c:pt idx="5">
                  <c:v>F</c:v>
                </c:pt>
                <c:pt idx="6">
                  <c:v>G</c:v>
                </c:pt>
                <c:pt idx="7">
                  <c:v>H</c:v>
                </c:pt>
                <c:pt idx="8">
                  <c:v>T</c:v>
                </c:pt>
                <c:pt idx="9">
                  <c:v>S</c:v>
                </c:pt>
                <c:pt idx="10">
                  <c:v>I</c:v>
                </c:pt>
                <c:pt idx="11">
                  <c:v>P</c:v>
                </c:pt>
                <c:pt idx="12">
                  <c:v>M</c:v>
                </c:pt>
                <c:pt idx="13">
                  <c:v>N</c:v>
                </c:pt>
                <c:pt idx="14">
                  <c:v>Y</c:v>
                </c:pt>
                <c:pt idx="15">
                  <c:v>D</c:v>
                </c:pt>
              </c:strCache>
            </c:strRef>
          </c:cat>
          <c:val>
            <c:numRef>
              <c:f>SECE!$B$4:$B$19</c:f>
              <c:numCache>
                <c:formatCode>General</c:formatCode>
                <c:ptCount val="16"/>
                <c:pt idx="0">
                  <c:v>1</c:v>
                </c:pt>
                <c:pt idx="1">
                  <c:v>6</c:v>
                </c:pt>
                <c:pt idx="2">
                  <c:v>3</c:v>
                </c:pt>
                <c:pt idx="3">
                  <c:v>7</c:v>
                </c:pt>
                <c:pt idx="4">
                  <c:v>4</c:v>
                </c:pt>
                <c:pt idx="5">
                  <c:v>5</c:v>
                </c:pt>
                <c:pt idx="6">
                  <c:v>5</c:v>
                </c:pt>
                <c:pt idx="7">
                  <c:v>5</c:v>
                </c:pt>
                <c:pt idx="8">
                  <c:v>5</c:v>
                </c:pt>
                <c:pt idx="9">
                  <c:v>4</c:v>
                </c:pt>
                <c:pt idx="10">
                  <c:v>1</c:v>
                </c:pt>
                <c:pt idx="11">
                  <c:v>3</c:v>
                </c:pt>
                <c:pt idx="12">
                  <c:v>8</c:v>
                </c:pt>
                <c:pt idx="13">
                  <c:v>4</c:v>
                </c:pt>
                <c:pt idx="14">
                  <c:v>3</c:v>
                </c:pt>
                <c:pt idx="15">
                  <c:v>5</c:v>
                </c:pt>
              </c:numCache>
            </c:numRef>
          </c:val>
          <c:smooth val="0"/>
          <c:extLst>
            <c:ext xmlns:c16="http://schemas.microsoft.com/office/drawing/2014/chart" uri="{C3380CC4-5D6E-409C-BE32-E72D297353CC}">
              <c16:uniqueId val="{00000000-F695-4EEF-8A3D-072C8D216794}"/>
            </c:ext>
          </c:extLst>
        </c:ser>
        <c:dLbls>
          <c:showLegendKey val="0"/>
          <c:showVal val="0"/>
          <c:showCatName val="0"/>
          <c:showSerName val="0"/>
          <c:showPercent val="0"/>
          <c:showBubbleSize val="0"/>
        </c:dLbls>
        <c:smooth val="0"/>
        <c:axId val="82887424"/>
        <c:axId val="82888960"/>
      </c:lineChart>
      <c:catAx>
        <c:axId val="82887424"/>
        <c:scaling>
          <c:orientation val="minMax"/>
        </c:scaling>
        <c:delete val="0"/>
        <c:axPos val="b"/>
        <c:numFmt formatCode="General" sourceLinked="0"/>
        <c:majorTickMark val="out"/>
        <c:minorTickMark val="none"/>
        <c:tickLblPos val="nextTo"/>
        <c:crossAx val="82888960"/>
        <c:crosses val="autoZero"/>
        <c:auto val="1"/>
        <c:lblAlgn val="ctr"/>
        <c:lblOffset val="100"/>
        <c:noMultiLvlLbl val="0"/>
      </c:catAx>
      <c:valAx>
        <c:axId val="82888960"/>
        <c:scaling>
          <c:orientation val="minMax"/>
        </c:scaling>
        <c:delete val="0"/>
        <c:axPos val="l"/>
        <c:majorGridlines/>
        <c:numFmt formatCode="General" sourceLinked="1"/>
        <c:majorTickMark val="out"/>
        <c:minorTickMark val="none"/>
        <c:tickLblPos val="nextTo"/>
        <c:crossAx val="82887424"/>
        <c:crosses val="autoZero"/>
        <c:crossBetween val="between"/>
      </c:valAx>
    </c:plotArea>
    <c:plotVisOnly val="1"/>
    <c:dispBlanksAs val="zero"/>
    <c:showDLblsOverMax val="0"/>
  </c:chart>
  <c:printSettings>
    <c:headerFooter/>
    <c:pageMargins b="0.75000000000000333" l="0.70000000000000062" r="0.70000000000000062" t="0.75000000000000333" header="0.30000000000000032" footer="0.3000000000000003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autoTitleDeleted val="0"/>
    <c:plotArea>
      <c:layout>
        <c:manualLayout>
          <c:layoutTarget val="inner"/>
          <c:xMode val="edge"/>
          <c:yMode val="edge"/>
          <c:x val="8.6318527702357858E-2"/>
          <c:y val="7.9149065395144769E-2"/>
          <c:w val="0.91368147229764218"/>
          <c:h val="0.84170186920971046"/>
        </c:manualLayout>
      </c:layout>
      <c:barChart>
        <c:barDir val="bar"/>
        <c:grouping val="clustered"/>
        <c:varyColors val="0"/>
        <c:ser>
          <c:idx val="0"/>
          <c:order val="0"/>
          <c:invertIfNegative val="0"/>
          <c:dLbls>
            <c:spPr>
              <a:noFill/>
              <a:ln>
                <a:noFill/>
              </a:ln>
              <a:effectLst/>
            </c:sp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Report!$A$51:$A$56</c:f>
              <c:strCache>
                <c:ptCount val="6"/>
                <c:pt idx="0">
                  <c:v>C</c:v>
                </c:pt>
                <c:pt idx="1">
                  <c:v>E</c:v>
                </c:pt>
                <c:pt idx="2">
                  <c:v>S</c:v>
                </c:pt>
                <c:pt idx="3">
                  <c:v>A</c:v>
                </c:pt>
                <c:pt idx="4">
                  <c:v>I</c:v>
                </c:pt>
                <c:pt idx="5">
                  <c:v>R</c:v>
                </c:pt>
              </c:strCache>
            </c:strRef>
          </c:cat>
          <c:val>
            <c:numRef>
              <c:f>Report!$B$51:$B$56</c:f>
              <c:numCache>
                <c:formatCode>General</c:formatCode>
                <c:ptCount val="6"/>
                <c:pt idx="0">
                  <c:v>10</c:v>
                </c:pt>
                <c:pt idx="1">
                  <c:v>6</c:v>
                </c:pt>
                <c:pt idx="2">
                  <c:v>8</c:v>
                </c:pt>
                <c:pt idx="3">
                  <c:v>3</c:v>
                </c:pt>
                <c:pt idx="4">
                  <c:v>6</c:v>
                </c:pt>
                <c:pt idx="5">
                  <c:v>9</c:v>
                </c:pt>
              </c:numCache>
            </c:numRef>
          </c:val>
          <c:extLst>
            <c:ext xmlns:c16="http://schemas.microsoft.com/office/drawing/2014/chart" uri="{C3380CC4-5D6E-409C-BE32-E72D297353CC}">
              <c16:uniqueId val="{00000000-F7AD-4367-87CE-386637D88085}"/>
            </c:ext>
          </c:extLst>
        </c:ser>
        <c:dLbls>
          <c:dLblPos val="outEnd"/>
          <c:showLegendKey val="0"/>
          <c:showVal val="1"/>
          <c:showCatName val="0"/>
          <c:showSerName val="0"/>
          <c:showPercent val="0"/>
          <c:showBubbleSize val="0"/>
        </c:dLbls>
        <c:gapWidth val="150"/>
        <c:axId val="85207296"/>
        <c:axId val="85217280"/>
      </c:barChart>
      <c:catAx>
        <c:axId val="85207296"/>
        <c:scaling>
          <c:orientation val="minMax"/>
        </c:scaling>
        <c:delete val="0"/>
        <c:axPos val="l"/>
        <c:numFmt formatCode="General" sourceLinked="0"/>
        <c:majorTickMark val="out"/>
        <c:minorTickMark val="none"/>
        <c:tickLblPos val="nextTo"/>
        <c:crossAx val="85217280"/>
        <c:crosses val="autoZero"/>
        <c:auto val="1"/>
        <c:lblAlgn val="ctr"/>
        <c:lblOffset val="100"/>
        <c:noMultiLvlLbl val="0"/>
      </c:catAx>
      <c:valAx>
        <c:axId val="85217280"/>
        <c:scaling>
          <c:orientation val="minMax"/>
        </c:scaling>
        <c:delete val="1"/>
        <c:axPos val="b"/>
        <c:numFmt formatCode="General" sourceLinked="1"/>
        <c:majorTickMark val="out"/>
        <c:minorTickMark val="none"/>
        <c:tickLblPos val="nextTo"/>
        <c:crossAx val="85207296"/>
        <c:crosses val="autoZero"/>
        <c:crossBetween val="between"/>
      </c:valAx>
      <c:spPr>
        <a:noFill/>
      </c:spPr>
    </c:plotArea>
    <c:plotVisOnly val="1"/>
    <c:dispBlanksAs val="gap"/>
    <c:showDLblsOverMax val="0"/>
  </c:chart>
  <c:spPr>
    <a:noFill/>
    <a:ln>
      <a:noFill/>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28"/>
    </mc:Choice>
    <mc:Fallback>
      <c:style val="28"/>
    </mc:Fallback>
  </mc:AlternateContent>
  <c:chart>
    <c:autoTitleDeleted val="0"/>
    <c:view3D>
      <c:rotX val="15"/>
      <c:rotY val="20"/>
      <c:rAngAx val="1"/>
    </c:view3D>
    <c:floor>
      <c:thickness val="0"/>
    </c:floor>
    <c:sideWall>
      <c:thickness val="0"/>
      <c:spPr>
        <a:noFill/>
        <a:ln w="25400">
          <a:noFill/>
        </a:ln>
      </c:spPr>
    </c:sideWall>
    <c:backWall>
      <c:thickness val="0"/>
      <c:spPr>
        <a:noFill/>
        <a:ln w="25400">
          <a:noFill/>
        </a:ln>
      </c:spPr>
    </c:backWall>
    <c:plotArea>
      <c:layout/>
      <c:bar3DChart>
        <c:barDir val="col"/>
        <c:grouping val="clustered"/>
        <c:varyColors val="0"/>
        <c:ser>
          <c:idx val="0"/>
          <c:order val="0"/>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'SEC C &amp; D'!$H$2:$H$17</c:f>
              <c:strCache>
                <c:ptCount val="15"/>
                <c:pt idx="1">
                  <c:v>E</c:v>
                </c:pt>
                <c:pt idx="2">
                  <c:v>I</c:v>
                </c:pt>
                <c:pt idx="5">
                  <c:v>S</c:v>
                </c:pt>
                <c:pt idx="6">
                  <c:v>N</c:v>
                </c:pt>
                <c:pt idx="9">
                  <c:v>T</c:v>
                </c:pt>
                <c:pt idx="10">
                  <c:v>F</c:v>
                </c:pt>
                <c:pt idx="13">
                  <c:v>J</c:v>
                </c:pt>
                <c:pt idx="14">
                  <c:v>P</c:v>
                </c:pt>
              </c:strCache>
            </c:strRef>
          </c:cat>
          <c:val>
            <c:numRef>
              <c:f>'SEC C &amp; D'!$I$2:$I$17</c:f>
              <c:numCache>
                <c:formatCode>General</c:formatCode>
                <c:ptCount val="16"/>
                <c:pt idx="1">
                  <c:v>10</c:v>
                </c:pt>
                <c:pt idx="2">
                  <c:v>21</c:v>
                </c:pt>
                <c:pt idx="5">
                  <c:v>25</c:v>
                </c:pt>
                <c:pt idx="6">
                  <c:v>8</c:v>
                </c:pt>
                <c:pt idx="9">
                  <c:v>16</c:v>
                </c:pt>
                <c:pt idx="10">
                  <c:v>19</c:v>
                </c:pt>
                <c:pt idx="13">
                  <c:v>24</c:v>
                </c:pt>
                <c:pt idx="14">
                  <c:v>9</c:v>
                </c:pt>
              </c:numCache>
            </c:numRef>
          </c:val>
          <c:extLst>
            <c:ext xmlns:c16="http://schemas.microsoft.com/office/drawing/2014/chart" uri="{C3380CC4-5D6E-409C-BE32-E72D297353CC}">
              <c16:uniqueId val="{00000000-B731-4358-A642-5E02F2D8F373}"/>
            </c:ext>
          </c:extLst>
        </c:ser>
        <c:dLbls>
          <c:showLegendKey val="0"/>
          <c:showVal val="1"/>
          <c:showCatName val="0"/>
          <c:showSerName val="0"/>
          <c:showPercent val="0"/>
          <c:showBubbleSize val="0"/>
        </c:dLbls>
        <c:gapWidth val="150"/>
        <c:shape val="cylinder"/>
        <c:axId val="85250432"/>
        <c:axId val="85251968"/>
        <c:axId val="0"/>
      </c:bar3DChart>
      <c:catAx>
        <c:axId val="85250432"/>
        <c:scaling>
          <c:orientation val="minMax"/>
        </c:scaling>
        <c:delete val="0"/>
        <c:axPos val="b"/>
        <c:numFmt formatCode="General" sourceLinked="0"/>
        <c:majorTickMark val="out"/>
        <c:minorTickMark val="none"/>
        <c:tickLblPos val="nextTo"/>
        <c:crossAx val="85251968"/>
        <c:crosses val="autoZero"/>
        <c:auto val="1"/>
        <c:lblAlgn val="ctr"/>
        <c:lblOffset val="100"/>
        <c:noMultiLvlLbl val="0"/>
      </c:catAx>
      <c:valAx>
        <c:axId val="85251968"/>
        <c:scaling>
          <c:orientation val="minMax"/>
        </c:scaling>
        <c:delete val="1"/>
        <c:axPos val="l"/>
        <c:numFmt formatCode="General" sourceLinked="1"/>
        <c:majorTickMark val="out"/>
        <c:minorTickMark val="none"/>
        <c:tickLblPos val="nextTo"/>
        <c:crossAx val="85250432"/>
        <c:crosses val="autoZero"/>
        <c:crossBetween val="between"/>
      </c:valAx>
    </c:plotArea>
    <c:plotVisOnly val="1"/>
    <c:dispBlanksAs val="gap"/>
    <c:showDLblsOverMax val="0"/>
  </c:chart>
  <c:spPr>
    <a:noFill/>
    <a:ln>
      <a:noFill/>
    </a:ln>
  </c:spPr>
  <c:printSettings>
    <c:headerFooter/>
    <c:pageMargins b="0.75000000000000311" l="0.70000000000000062" r="0.70000000000000062" t="0.75000000000000311" header="0.30000000000000032" footer="0.3000000000000003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28"/>
    </mc:Choice>
    <mc:Fallback>
      <c:style val="28"/>
    </mc:Fallback>
  </mc:AlternateContent>
  <c:chart>
    <c:autoTitleDeleted val="0"/>
    <c:view3D>
      <c:rotX val="15"/>
      <c:rotY val="20"/>
      <c:rAngAx val="1"/>
    </c:view3D>
    <c:floor>
      <c:thickness val="0"/>
    </c:floor>
    <c:sideWall>
      <c:thickness val="0"/>
      <c:spPr>
        <a:noFill/>
        <a:ln w="25400">
          <a:noFill/>
        </a:ln>
      </c:spPr>
    </c:sideWall>
    <c:backWall>
      <c:thickness val="0"/>
      <c:spPr>
        <a:noFill/>
        <a:ln w="25400">
          <a:noFill/>
        </a:ln>
      </c:spPr>
    </c:backWall>
    <c:plotArea>
      <c:layout>
        <c:manualLayout>
          <c:layoutTarget val="inner"/>
          <c:xMode val="edge"/>
          <c:yMode val="edge"/>
          <c:x val="6.9448975280174172E-2"/>
          <c:y val="0.11134753717876086"/>
          <c:w val="0.92803811661791513"/>
          <c:h val="0.74910872707705223"/>
        </c:manualLayout>
      </c:layout>
      <c:bar3DChart>
        <c:barDir val="col"/>
        <c:grouping val="clustered"/>
        <c:varyColors val="0"/>
        <c:ser>
          <c:idx val="0"/>
          <c:order val="0"/>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SECE!$C$4:$C$19</c:f>
              <c:strCache>
                <c:ptCount val="16"/>
                <c:pt idx="0">
                  <c:v>A</c:v>
                </c:pt>
                <c:pt idx="1">
                  <c:v>C</c:v>
                </c:pt>
                <c:pt idx="2">
                  <c:v>V</c:v>
                </c:pt>
                <c:pt idx="3">
                  <c:v>B</c:v>
                </c:pt>
                <c:pt idx="4">
                  <c:v>E</c:v>
                </c:pt>
                <c:pt idx="5">
                  <c:v>F</c:v>
                </c:pt>
                <c:pt idx="6">
                  <c:v>G</c:v>
                </c:pt>
                <c:pt idx="7">
                  <c:v>H</c:v>
                </c:pt>
                <c:pt idx="8">
                  <c:v>T</c:v>
                </c:pt>
                <c:pt idx="9">
                  <c:v>S</c:v>
                </c:pt>
                <c:pt idx="10">
                  <c:v>I</c:v>
                </c:pt>
                <c:pt idx="11">
                  <c:v>P</c:v>
                </c:pt>
                <c:pt idx="12">
                  <c:v>M</c:v>
                </c:pt>
                <c:pt idx="13">
                  <c:v>N</c:v>
                </c:pt>
                <c:pt idx="14">
                  <c:v>Y</c:v>
                </c:pt>
                <c:pt idx="15">
                  <c:v>D</c:v>
                </c:pt>
              </c:strCache>
            </c:strRef>
          </c:cat>
          <c:val>
            <c:numRef>
              <c:f>SECE!$B$4:$B$19</c:f>
              <c:numCache>
                <c:formatCode>General</c:formatCode>
                <c:ptCount val="16"/>
                <c:pt idx="0">
                  <c:v>1</c:v>
                </c:pt>
                <c:pt idx="1">
                  <c:v>6</c:v>
                </c:pt>
                <c:pt idx="2">
                  <c:v>3</c:v>
                </c:pt>
                <c:pt idx="3">
                  <c:v>7</c:v>
                </c:pt>
                <c:pt idx="4">
                  <c:v>4</c:v>
                </c:pt>
                <c:pt idx="5">
                  <c:v>5</c:v>
                </c:pt>
                <c:pt idx="6">
                  <c:v>5</c:v>
                </c:pt>
                <c:pt idx="7">
                  <c:v>5</c:v>
                </c:pt>
                <c:pt idx="8">
                  <c:v>5</c:v>
                </c:pt>
                <c:pt idx="9">
                  <c:v>4</c:v>
                </c:pt>
                <c:pt idx="10">
                  <c:v>1</c:v>
                </c:pt>
                <c:pt idx="11">
                  <c:v>3</c:v>
                </c:pt>
                <c:pt idx="12">
                  <c:v>8</c:v>
                </c:pt>
                <c:pt idx="13">
                  <c:v>4</c:v>
                </c:pt>
                <c:pt idx="14">
                  <c:v>3</c:v>
                </c:pt>
                <c:pt idx="15">
                  <c:v>5</c:v>
                </c:pt>
              </c:numCache>
            </c:numRef>
          </c:val>
          <c:extLst>
            <c:ext xmlns:c16="http://schemas.microsoft.com/office/drawing/2014/chart" uri="{C3380CC4-5D6E-409C-BE32-E72D297353CC}">
              <c16:uniqueId val="{00000000-BD2B-4307-9094-E67BB528B640}"/>
            </c:ext>
          </c:extLst>
        </c:ser>
        <c:dLbls>
          <c:showLegendKey val="0"/>
          <c:showVal val="1"/>
          <c:showCatName val="0"/>
          <c:showSerName val="0"/>
          <c:showPercent val="0"/>
          <c:showBubbleSize val="0"/>
        </c:dLbls>
        <c:gapWidth val="150"/>
        <c:shape val="pyramid"/>
        <c:axId val="85272832"/>
        <c:axId val="85286912"/>
        <c:axId val="0"/>
      </c:bar3DChart>
      <c:catAx>
        <c:axId val="85272832"/>
        <c:scaling>
          <c:orientation val="minMax"/>
        </c:scaling>
        <c:delete val="0"/>
        <c:axPos val="b"/>
        <c:numFmt formatCode="General" sourceLinked="0"/>
        <c:majorTickMark val="out"/>
        <c:minorTickMark val="none"/>
        <c:tickLblPos val="nextTo"/>
        <c:crossAx val="85286912"/>
        <c:crosses val="autoZero"/>
        <c:auto val="1"/>
        <c:lblAlgn val="ctr"/>
        <c:lblOffset val="100"/>
        <c:noMultiLvlLbl val="0"/>
      </c:catAx>
      <c:valAx>
        <c:axId val="85286912"/>
        <c:scaling>
          <c:orientation val="minMax"/>
        </c:scaling>
        <c:delete val="1"/>
        <c:axPos val="l"/>
        <c:numFmt formatCode="General" sourceLinked="1"/>
        <c:majorTickMark val="out"/>
        <c:minorTickMark val="none"/>
        <c:tickLblPos val="nextTo"/>
        <c:crossAx val="85272832"/>
        <c:crosses val="autoZero"/>
        <c:crossBetween val="between"/>
      </c:valAx>
      <c:spPr>
        <a:noFill/>
      </c:spPr>
    </c:plotArea>
    <c:plotVisOnly val="1"/>
    <c:dispBlanksAs val="gap"/>
    <c:showDLblsOverMax val="0"/>
  </c:chart>
  <c:spPr>
    <a:noFill/>
    <a:ln>
      <a:noFill/>
    </a:ln>
  </c:spPr>
  <c:printSettings>
    <c:headerFooter/>
    <c:pageMargins b="0.75000000000000311" l="0.70000000000000062" r="0.70000000000000062" t="0.75000000000000311" header="0.30000000000000032" footer="0.30000000000000032"/>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8</xdr:col>
      <xdr:colOff>438150</xdr:colOff>
      <xdr:row>2</xdr:row>
      <xdr:rowOff>66675</xdr:rowOff>
    </xdr:from>
    <xdr:to>
      <xdr:col>16</xdr:col>
      <xdr:colOff>133350</xdr:colOff>
      <xdr:row>52</xdr:row>
      <xdr:rowOff>142875</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409575</xdr:colOff>
      <xdr:row>2</xdr:row>
      <xdr:rowOff>47625</xdr:rowOff>
    </xdr:from>
    <xdr:to>
      <xdr:col>24</xdr:col>
      <xdr:colOff>104775</xdr:colOff>
      <xdr:row>52</xdr:row>
      <xdr:rowOff>123825</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9</xdr:col>
      <xdr:colOff>588870</xdr:colOff>
      <xdr:row>2</xdr:row>
      <xdr:rowOff>112059</xdr:rowOff>
    </xdr:from>
    <xdr:to>
      <xdr:col>18</xdr:col>
      <xdr:colOff>440067</xdr:colOff>
      <xdr:row>16</xdr:row>
      <xdr:rowOff>0</xdr:rowOff>
    </xdr:to>
    <xdr:graphicFrame macro="">
      <xdr:nvGraphicFramePr>
        <xdr:cNvPr id="7" name="Chart 6">
          <a:extLst>
            <a:ext uri="{FF2B5EF4-FFF2-40B4-BE49-F238E27FC236}">
              <a16:creationId xmlns:a16="http://schemas.microsoft.com/office/drawing/2014/main" id="{00000000-0008-0000-0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514350</xdr:colOff>
      <xdr:row>39</xdr:row>
      <xdr:rowOff>161925</xdr:rowOff>
    </xdr:from>
    <xdr:to>
      <xdr:col>17</xdr:col>
      <xdr:colOff>209550</xdr:colOff>
      <xdr:row>84</xdr:row>
      <xdr:rowOff>47625</xdr:rowOff>
    </xdr:to>
    <xdr:graphicFrame macro="">
      <xdr:nvGraphicFramePr>
        <xdr:cNvPr id="8" name="Chart 7">
          <a:extLst>
            <a:ext uri="{FF2B5EF4-FFF2-40B4-BE49-F238E27FC236}">
              <a16:creationId xmlns:a16="http://schemas.microsoft.com/office/drawing/2014/main" id="{00000000-0008-0000-0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419099</xdr:colOff>
      <xdr:row>2</xdr:row>
      <xdr:rowOff>76200</xdr:rowOff>
    </xdr:from>
    <xdr:to>
      <xdr:col>15</xdr:col>
      <xdr:colOff>200025</xdr:colOff>
      <xdr:row>19</xdr:row>
      <xdr:rowOff>171450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400050</xdr:colOff>
      <xdr:row>19</xdr:row>
      <xdr:rowOff>152400</xdr:rowOff>
    </xdr:from>
    <xdr:to>
      <xdr:col>15</xdr:col>
      <xdr:colOff>180976</xdr:colOff>
      <xdr:row>34</xdr:row>
      <xdr:rowOff>38100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116593</xdr:colOff>
      <xdr:row>9</xdr:row>
      <xdr:rowOff>36123</xdr:rowOff>
    </xdr:from>
    <xdr:to>
      <xdr:col>2</xdr:col>
      <xdr:colOff>157370</xdr:colOff>
      <xdr:row>11</xdr:row>
      <xdr:rowOff>19431</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33617</xdr:colOff>
      <xdr:row>13</xdr:row>
      <xdr:rowOff>134470</xdr:rowOff>
    </xdr:from>
    <xdr:to>
      <xdr:col>1</xdr:col>
      <xdr:colOff>3182470</xdr:colOff>
      <xdr:row>14</xdr:row>
      <xdr:rowOff>168088</xdr:rowOff>
    </xdr:to>
    <xdr:graphicFrame macro="">
      <xdr:nvGraphicFramePr>
        <xdr:cNvPr id="15" name="Chart 14">
          <a:extLst>
            <a:ext uri="{FF2B5EF4-FFF2-40B4-BE49-F238E27FC236}">
              <a16:creationId xmlns:a16="http://schemas.microsoft.com/office/drawing/2014/main" id="{00000000-0008-0000-0300-00000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3443122</xdr:colOff>
      <xdr:row>17</xdr:row>
      <xdr:rowOff>2644</xdr:rowOff>
    </xdr:from>
    <xdr:to>
      <xdr:col>2</xdr:col>
      <xdr:colOff>83738</xdr:colOff>
      <xdr:row>17</xdr:row>
      <xdr:rowOff>1716593</xdr:rowOff>
    </xdr:to>
    <xdr:graphicFrame macro="">
      <xdr:nvGraphicFramePr>
        <xdr:cNvPr id="17" name="Chart 16">
          <a:extLst>
            <a:ext uri="{FF2B5EF4-FFF2-40B4-BE49-F238E27FC236}">
              <a16:creationId xmlns:a16="http://schemas.microsoft.com/office/drawing/2014/main" id="{00000000-0008-0000-0300-00001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9525</xdr:colOff>
      <xdr:row>18</xdr:row>
      <xdr:rowOff>9525</xdr:rowOff>
    </xdr:from>
    <xdr:to>
      <xdr:col>2</xdr:col>
      <xdr:colOff>9525</xdr:colOff>
      <xdr:row>59</xdr:row>
      <xdr:rowOff>76200</xdr:rowOff>
    </xdr:to>
    <xdr:grpSp>
      <xdr:nvGrpSpPr>
        <xdr:cNvPr id="4099" name="Group 3">
          <a:extLst>
            <a:ext uri="{FF2B5EF4-FFF2-40B4-BE49-F238E27FC236}">
              <a16:creationId xmlns:a16="http://schemas.microsoft.com/office/drawing/2014/main" id="{B1D0E2AF-CD4E-4C08-B440-553F821F84B2}"/>
            </a:ext>
          </a:extLst>
        </xdr:cNvPr>
        <xdr:cNvGrpSpPr>
          <a:grpSpLocks noChangeAspect="1"/>
        </xdr:cNvGrpSpPr>
      </xdr:nvGrpSpPr>
      <xdr:grpSpPr bwMode="auto">
        <a:xfrm>
          <a:off x="3724275" y="8709025"/>
          <a:ext cx="3397250" cy="7686675"/>
          <a:chOff x="347" y="601"/>
          <a:chExt cx="342" cy="798"/>
        </a:xfrm>
      </xdr:grpSpPr>
      <xdr:sp macro="" textlink="">
        <xdr:nvSpPr>
          <xdr:cNvPr id="4098" name="AutoShape 2">
            <a:extLst>
              <a:ext uri="{FF2B5EF4-FFF2-40B4-BE49-F238E27FC236}">
                <a16:creationId xmlns:a16="http://schemas.microsoft.com/office/drawing/2014/main" id="{EBAB11CA-A562-41D1-AC80-58746346D59E}"/>
              </a:ext>
            </a:extLst>
          </xdr:cNvPr>
          <xdr:cNvSpPr>
            <a:spLocks noChangeAspect="1" noChangeArrowheads="1" noTextEdit="1"/>
          </xdr:cNvSpPr>
        </xdr:nvSpPr>
        <xdr:spPr bwMode="auto">
          <a:xfrm>
            <a:off x="347" y="1251"/>
            <a:ext cx="330" cy="14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sp macro="" textlink="">
        <xdr:nvSpPr>
          <xdr:cNvPr id="4100" name="Rectangle 4">
            <a:extLst>
              <a:ext uri="{FF2B5EF4-FFF2-40B4-BE49-F238E27FC236}">
                <a16:creationId xmlns:a16="http://schemas.microsoft.com/office/drawing/2014/main" id="{B5423F85-3763-490A-97C4-CE5D245A0608}"/>
              </a:ext>
            </a:extLst>
          </xdr:cNvPr>
          <xdr:cNvSpPr>
            <a:spLocks noChangeArrowheads="1"/>
          </xdr:cNvSpPr>
        </xdr:nvSpPr>
        <xdr:spPr bwMode="auto">
          <a:xfrm>
            <a:off x="348" y="601"/>
            <a:ext cx="329" cy="147"/>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sp>
      <xdr:sp macro="" textlink="">
        <xdr:nvSpPr>
          <xdr:cNvPr id="4101" name="Rectangle 5">
            <a:extLst>
              <a:ext uri="{FF2B5EF4-FFF2-40B4-BE49-F238E27FC236}">
                <a16:creationId xmlns:a16="http://schemas.microsoft.com/office/drawing/2014/main" id="{EE30D4BB-CA22-4A48-9994-147C50EB5E5D}"/>
              </a:ext>
            </a:extLst>
          </xdr:cNvPr>
          <xdr:cNvSpPr>
            <a:spLocks noChangeArrowheads="1"/>
          </xdr:cNvSpPr>
        </xdr:nvSpPr>
        <xdr:spPr bwMode="auto">
          <a:xfrm>
            <a:off x="350" y="602"/>
            <a:ext cx="17" cy="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0" tIns="0" rIns="0" bIns="0" anchor="t">
            <a:spAutoFit/>
          </a:bodyPr>
          <a:lstStyle/>
          <a:p>
            <a:pPr algn="l" rtl="0">
              <a:defRPr sz="1000"/>
            </a:pPr>
            <a:r>
              <a:rPr lang="en-US" sz="1100" b="1" i="0" u="none" strike="noStrike" baseline="0">
                <a:solidFill>
                  <a:srgbClr val="000000"/>
                </a:solidFill>
                <a:latin typeface="Calibri"/>
                <a:cs typeface="Calibri"/>
              </a:rPr>
              <a:t>A -</a:t>
            </a:r>
          </a:p>
        </xdr:txBody>
      </xdr:sp>
      <xdr:sp macro="" textlink="">
        <xdr:nvSpPr>
          <xdr:cNvPr id="4102" name="Rectangle 6">
            <a:extLst>
              <a:ext uri="{FF2B5EF4-FFF2-40B4-BE49-F238E27FC236}">
                <a16:creationId xmlns:a16="http://schemas.microsoft.com/office/drawing/2014/main" id="{02E5A912-1914-4380-B0C4-297FFAB4CBDB}"/>
              </a:ext>
            </a:extLst>
          </xdr:cNvPr>
          <xdr:cNvSpPr>
            <a:spLocks noChangeArrowheads="1"/>
          </xdr:cNvSpPr>
        </xdr:nvSpPr>
        <xdr:spPr bwMode="auto">
          <a:xfrm>
            <a:off x="372" y="602"/>
            <a:ext cx="104" cy="1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0" tIns="0" rIns="0" bIns="0" anchor="t">
            <a:spAutoFit/>
          </a:bodyPr>
          <a:lstStyle/>
          <a:p>
            <a:pPr algn="l" rtl="0">
              <a:defRPr sz="1000"/>
            </a:pPr>
            <a:r>
              <a:rPr lang="en-US" sz="1100" b="0" i="1" u="none" strike="noStrike" baseline="0">
                <a:solidFill>
                  <a:srgbClr val="000000"/>
                </a:solidFill>
                <a:latin typeface="Calibri"/>
                <a:cs typeface="Calibri"/>
              </a:rPr>
              <a:t>Natural Resource</a:t>
            </a:r>
          </a:p>
        </xdr:txBody>
      </xdr:sp>
      <xdr:sp macro="" textlink="">
        <xdr:nvSpPr>
          <xdr:cNvPr id="4103" name="Rectangle 7">
            <a:extLst>
              <a:ext uri="{FF2B5EF4-FFF2-40B4-BE49-F238E27FC236}">
                <a16:creationId xmlns:a16="http://schemas.microsoft.com/office/drawing/2014/main" id="{74540FDF-E0DD-4102-B385-06268FAC80DA}"/>
              </a:ext>
            </a:extLst>
          </xdr:cNvPr>
          <xdr:cNvSpPr>
            <a:spLocks noChangeArrowheads="1"/>
          </xdr:cNvSpPr>
        </xdr:nvSpPr>
        <xdr:spPr bwMode="auto">
          <a:xfrm>
            <a:off x="482" y="602"/>
            <a:ext cx="16" cy="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0" tIns="0" rIns="0" bIns="0" anchor="t">
            <a:spAutoFit/>
          </a:bodyPr>
          <a:lstStyle/>
          <a:p>
            <a:pPr algn="l" rtl="0">
              <a:defRPr sz="1000"/>
            </a:pPr>
            <a:r>
              <a:rPr lang="en-US" sz="1100" b="1" i="0" u="none" strike="noStrike" baseline="0">
                <a:solidFill>
                  <a:srgbClr val="000000"/>
                </a:solidFill>
                <a:latin typeface="Calibri"/>
                <a:cs typeface="Calibri"/>
              </a:rPr>
              <a:t>C -</a:t>
            </a:r>
          </a:p>
        </xdr:txBody>
      </xdr:sp>
      <xdr:sp macro="" textlink="">
        <xdr:nvSpPr>
          <xdr:cNvPr id="4104" name="Rectangle 8">
            <a:extLst>
              <a:ext uri="{FF2B5EF4-FFF2-40B4-BE49-F238E27FC236}">
                <a16:creationId xmlns:a16="http://schemas.microsoft.com/office/drawing/2014/main" id="{302FA6D4-FC4A-458A-A4AE-145029D3DD18}"/>
              </a:ext>
            </a:extLst>
          </xdr:cNvPr>
          <xdr:cNvSpPr>
            <a:spLocks noChangeArrowheads="1"/>
          </xdr:cNvSpPr>
        </xdr:nvSpPr>
        <xdr:spPr bwMode="auto">
          <a:xfrm>
            <a:off x="504" y="602"/>
            <a:ext cx="166" cy="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0" tIns="0" rIns="0" bIns="0" anchor="t">
            <a:spAutoFit/>
          </a:bodyPr>
          <a:lstStyle/>
          <a:p>
            <a:pPr algn="l" rtl="0">
              <a:defRPr sz="1000"/>
            </a:pPr>
            <a:r>
              <a:rPr lang="en-US" sz="1100" b="0" i="1" u="none" strike="noStrike" baseline="0">
                <a:solidFill>
                  <a:srgbClr val="000000"/>
                </a:solidFill>
                <a:latin typeface="Calibri"/>
                <a:cs typeface="Calibri"/>
              </a:rPr>
              <a:t>Construction / Architecture</a:t>
            </a:r>
          </a:p>
        </xdr:txBody>
      </xdr:sp>
      <xdr:sp macro="" textlink="">
        <xdr:nvSpPr>
          <xdr:cNvPr id="4105" name="Rectangle 9">
            <a:extLst>
              <a:ext uri="{FF2B5EF4-FFF2-40B4-BE49-F238E27FC236}">
                <a16:creationId xmlns:a16="http://schemas.microsoft.com/office/drawing/2014/main" id="{54DFA156-9982-450E-9408-66182A51F027}"/>
              </a:ext>
            </a:extLst>
          </xdr:cNvPr>
          <xdr:cNvSpPr>
            <a:spLocks noChangeArrowheads="1"/>
          </xdr:cNvSpPr>
        </xdr:nvSpPr>
        <xdr:spPr bwMode="auto">
          <a:xfrm>
            <a:off x="350" y="620"/>
            <a:ext cx="17" cy="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0" tIns="0" rIns="0" bIns="0" anchor="t">
            <a:spAutoFit/>
          </a:bodyPr>
          <a:lstStyle/>
          <a:p>
            <a:pPr algn="l" rtl="0">
              <a:defRPr sz="1000"/>
            </a:pPr>
            <a:r>
              <a:rPr lang="en-US" sz="1100" b="1" i="0" u="none" strike="noStrike" baseline="0">
                <a:solidFill>
                  <a:srgbClr val="000000"/>
                </a:solidFill>
                <a:latin typeface="Calibri"/>
                <a:cs typeface="Calibri"/>
              </a:rPr>
              <a:t>V -</a:t>
            </a:r>
          </a:p>
        </xdr:txBody>
      </xdr:sp>
      <xdr:sp macro="" textlink="">
        <xdr:nvSpPr>
          <xdr:cNvPr id="4106" name="Rectangle 10">
            <a:extLst>
              <a:ext uri="{FF2B5EF4-FFF2-40B4-BE49-F238E27FC236}">
                <a16:creationId xmlns:a16="http://schemas.microsoft.com/office/drawing/2014/main" id="{CABB1C39-2770-4053-B1E9-7A42A24D81F1}"/>
              </a:ext>
            </a:extLst>
          </xdr:cNvPr>
          <xdr:cNvSpPr>
            <a:spLocks noChangeArrowheads="1"/>
          </xdr:cNvSpPr>
        </xdr:nvSpPr>
        <xdr:spPr bwMode="auto">
          <a:xfrm>
            <a:off x="372" y="620"/>
            <a:ext cx="83" cy="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0" tIns="0" rIns="0" bIns="0" anchor="t">
            <a:spAutoFit/>
          </a:bodyPr>
          <a:lstStyle/>
          <a:p>
            <a:pPr algn="l" rtl="0">
              <a:defRPr sz="1000"/>
            </a:pPr>
            <a:r>
              <a:rPr lang="en-US" sz="1100" b="0" i="1" u="none" strike="noStrike" baseline="0">
                <a:solidFill>
                  <a:srgbClr val="000000"/>
                </a:solidFill>
                <a:latin typeface="Calibri"/>
                <a:cs typeface="Calibri"/>
              </a:rPr>
              <a:t>Arts / Comm.</a:t>
            </a:r>
          </a:p>
        </xdr:txBody>
      </xdr:sp>
      <xdr:sp macro="" textlink="">
        <xdr:nvSpPr>
          <xdr:cNvPr id="4107" name="Rectangle 11">
            <a:extLst>
              <a:ext uri="{FF2B5EF4-FFF2-40B4-BE49-F238E27FC236}">
                <a16:creationId xmlns:a16="http://schemas.microsoft.com/office/drawing/2014/main" id="{527E8A71-A369-429D-BEF7-51E5D33DA264}"/>
              </a:ext>
            </a:extLst>
          </xdr:cNvPr>
          <xdr:cNvSpPr>
            <a:spLocks noChangeArrowheads="1"/>
          </xdr:cNvSpPr>
        </xdr:nvSpPr>
        <xdr:spPr bwMode="auto">
          <a:xfrm>
            <a:off x="482" y="620"/>
            <a:ext cx="16" cy="1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0" tIns="0" rIns="0" bIns="0" anchor="t">
            <a:spAutoFit/>
          </a:bodyPr>
          <a:lstStyle/>
          <a:p>
            <a:pPr algn="l" rtl="0">
              <a:defRPr sz="1000"/>
            </a:pPr>
            <a:r>
              <a:rPr lang="en-US" sz="1100" b="1" i="0" u="none" strike="noStrike" baseline="0">
                <a:solidFill>
                  <a:srgbClr val="000000"/>
                </a:solidFill>
                <a:latin typeface="Calibri"/>
                <a:cs typeface="Calibri"/>
              </a:rPr>
              <a:t>B -</a:t>
            </a:r>
          </a:p>
        </xdr:txBody>
      </xdr:sp>
      <xdr:sp macro="" textlink="">
        <xdr:nvSpPr>
          <xdr:cNvPr id="4108" name="Rectangle 12">
            <a:extLst>
              <a:ext uri="{FF2B5EF4-FFF2-40B4-BE49-F238E27FC236}">
                <a16:creationId xmlns:a16="http://schemas.microsoft.com/office/drawing/2014/main" id="{016F1DC5-DCE3-4E71-995D-57728BDB5CAD}"/>
              </a:ext>
            </a:extLst>
          </xdr:cNvPr>
          <xdr:cNvSpPr>
            <a:spLocks noChangeArrowheads="1"/>
          </xdr:cNvSpPr>
        </xdr:nvSpPr>
        <xdr:spPr bwMode="auto">
          <a:xfrm>
            <a:off x="504" y="620"/>
            <a:ext cx="138" cy="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0" tIns="0" rIns="0" bIns="0" anchor="t">
            <a:spAutoFit/>
          </a:bodyPr>
          <a:lstStyle/>
          <a:p>
            <a:pPr algn="l" rtl="0">
              <a:defRPr sz="1000"/>
            </a:pPr>
            <a:r>
              <a:rPr lang="en-US" sz="1100" b="0" i="1" u="none" strike="noStrike" baseline="0">
                <a:solidFill>
                  <a:srgbClr val="000000"/>
                </a:solidFill>
                <a:latin typeface="Calibri"/>
                <a:cs typeface="Calibri"/>
              </a:rPr>
              <a:t>Management / Admin</a:t>
            </a:r>
          </a:p>
        </xdr:txBody>
      </xdr:sp>
      <xdr:sp macro="" textlink="">
        <xdr:nvSpPr>
          <xdr:cNvPr id="4109" name="Rectangle 13">
            <a:extLst>
              <a:ext uri="{FF2B5EF4-FFF2-40B4-BE49-F238E27FC236}">
                <a16:creationId xmlns:a16="http://schemas.microsoft.com/office/drawing/2014/main" id="{BA4BADB8-7BCC-42E9-9DF9-50F870B0DB6F}"/>
              </a:ext>
            </a:extLst>
          </xdr:cNvPr>
          <xdr:cNvSpPr>
            <a:spLocks noChangeArrowheads="1"/>
          </xdr:cNvSpPr>
        </xdr:nvSpPr>
        <xdr:spPr bwMode="auto">
          <a:xfrm>
            <a:off x="350" y="639"/>
            <a:ext cx="15" cy="1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0" tIns="0" rIns="0" bIns="0" anchor="t">
            <a:spAutoFit/>
          </a:bodyPr>
          <a:lstStyle/>
          <a:p>
            <a:pPr algn="l" rtl="0">
              <a:defRPr sz="1000"/>
            </a:pPr>
            <a:r>
              <a:rPr lang="en-US" sz="1100" b="1" i="0" u="none" strike="noStrike" baseline="0">
                <a:solidFill>
                  <a:srgbClr val="000000"/>
                </a:solidFill>
                <a:latin typeface="Calibri"/>
                <a:cs typeface="Calibri"/>
              </a:rPr>
              <a:t>E -</a:t>
            </a:r>
          </a:p>
        </xdr:txBody>
      </xdr:sp>
      <xdr:sp macro="" textlink="">
        <xdr:nvSpPr>
          <xdr:cNvPr id="4110" name="Rectangle 14">
            <a:extLst>
              <a:ext uri="{FF2B5EF4-FFF2-40B4-BE49-F238E27FC236}">
                <a16:creationId xmlns:a16="http://schemas.microsoft.com/office/drawing/2014/main" id="{33D7175B-EB79-49EC-8486-08EDD7AFAD2E}"/>
              </a:ext>
            </a:extLst>
          </xdr:cNvPr>
          <xdr:cNvSpPr>
            <a:spLocks noChangeArrowheads="1"/>
          </xdr:cNvSpPr>
        </xdr:nvSpPr>
        <xdr:spPr bwMode="auto">
          <a:xfrm>
            <a:off x="372" y="639"/>
            <a:ext cx="91" cy="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0" tIns="0" rIns="0" bIns="0" anchor="t">
            <a:spAutoFit/>
          </a:bodyPr>
          <a:lstStyle/>
          <a:p>
            <a:pPr algn="l" rtl="0">
              <a:defRPr sz="1000"/>
            </a:pPr>
            <a:r>
              <a:rPr lang="en-US" sz="1100" b="0" i="1" u="none" strike="noStrike" baseline="0">
                <a:solidFill>
                  <a:srgbClr val="000000"/>
                </a:solidFill>
                <a:latin typeface="Calibri"/>
                <a:cs typeface="Calibri"/>
              </a:rPr>
              <a:t>Edu. / Training</a:t>
            </a:r>
          </a:p>
        </xdr:txBody>
      </xdr:sp>
      <xdr:sp macro="" textlink="">
        <xdr:nvSpPr>
          <xdr:cNvPr id="4111" name="Rectangle 15">
            <a:extLst>
              <a:ext uri="{FF2B5EF4-FFF2-40B4-BE49-F238E27FC236}">
                <a16:creationId xmlns:a16="http://schemas.microsoft.com/office/drawing/2014/main" id="{2784AA73-02B0-40D7-ACAB-A614D6F0E9D5}"/>
              </a:ext>
            </a:extLst>
          </xdr:cNvPr>
          <xdr:cNvSpPr>
            <a:spLocks noChangeArrowheads="1"/>
          </xdr:cNvSpPr>
        </xdr:nvSpPr>
        <xdr:spPr bwMode="auto">
          <a:xfrm>
            <a:off x="482" y="639"/>
            <a:ext cx="17" cy="1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0" tIns="0" rIns="0" bIns="0" anchor="t">
            <a:spAutoFit/>
          </a:bodyPr>
          <a:lstStyle/>
          <a:p>
            <a:pPr algn="l" rtl="0">
              <a:defRPr sz="1000"/>
            </a:pPr>
            <a:r>
              <a:rPr lang="en-US" sz="1100" b="1" i="0" u="none" strike="noStrike" baseline="0">
                <a:solidFill>
                  <a:srgbClr val="000000"/>
                </a:solidFill>
                <a:latin typeface="Calibri"/>
                <a:cs typeface="Calibri"/>
              </a:rPr>
              <a:t>G -</a:t>
            </a:r>
          </a:p>
        </xdr:txBody>
      </xdr:sp>
      <xdr:sp macro="" textlink="">
        <xdr:nvSpPr>
          <xdr:cNvPr id="4112" name="Rectangle 16">
            <a:extLst>
              <a:ext uri="{FF2B5EF4-FFF2-40B4-BE49-F238E27FC236}">
                <a16:creationId xmlns:a16="http://schemas.microsoft.com/office/drawing/2014/main" id="{E4AFA471-D00F-43ED-B704-E0E54F11A0E9}"/>
              </a:ext>
            </a:extLst>
          </xdr:cNvPr>
          <xdr:cNvSpPr>
            <a:spLocks noChangeArrowheads="1"/>
          </xdr:cNvSpPr>
        </xdr:nvSpPr>
        <xdr:spPr bwMode="auto">
          <a:xfrm>
            <a:off x="504" y="639"/>
            <a:ext cx="126" cy="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0" tIns="0" rIns="0" bIns="0" anchor="t">
            <a:spAutoFit/>
          </a:bodyPr>
          <a:lstStyle/>
          <a:p>
            <a:pPr algn="l" rtl="0">
              <a:defRPr sz="1000"/>
            </a:pPr>
            <a:r>
              <a:rPr lang="en-US" sz="1100" b="0" i="1" u="none" strike="noStrike" baseline="0">
                <a:solidFill>
                  <a:srgbClr val="000000"/>
                </a:solidFill>
                <a:latin typeface="Calibri"/>
                <a:cs typeface="Calibri"/>
              </a:rPr>
              <a:t>Govt. / Public Admin</a:t>
            </a:r>
          </a:p>
        </xdr:txBody>
      </xdr:sp>
      <xdr:sp macro="" textlink="">
        <xdr:nvSpPr>
          <xdr:cNvPr id="4113" name="Rectangle 17">
            <a:extLst>
              <a:ext uri="{FF2B5EF4-FFF2-40B4-BE49-F238E27FC236}">
                <a16:creationId xmlns:a16="http://schemas.microsoft.com/office/drawing/2014/main" id="{0D0F702B-BF25-42DB-B189-37A89181561E}"/>
              </a:ext>
            </a:extLst>
          </xdr:cNvPr>
          <xdr:cNvSpPr>
            <a:spLocks noChangeArrowheads="1"/>
          </xdr:cNvSpPr>
        </xdr:nvSpPr>
        <xdr:spPr bwMode="auto">
          <a:xfrm>
            <a:off x="350" y="657"/>
            <a:ext cx="15" cy="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0" tIns="0" rIns="0" bIns="0" anchor="t">
            <a:spAutoFit/>
          </a:bodyPr>
          <a:lstStyle/>
          <a:p>
            <a:pPr algn="l" rtl="0">
              <a:defRPr sz="1000"/>
            </a:pPr>
            <a:r>
              <a:rPr lang="en-US" sz="1100" b="1" i="0" u="none" strike="noStrike" baseline="0">
                <a:solidFill>
                  <a:srgbClr val="000000"/>
                </a:solidFill>
                <a:latin typeface="Calibri"/>
                <a:cs typeface="Calibri"/>
              </a:rPr>
              <a:t>F -</a:t>
            </a:r>
          </a:p>
        </xdr:txBody>
      </xdr:sp>
      <xdr:sp macro="" textlink="">
        <xdr:nvSpPr>
          <xdr:cNvPr id="4114" name="Rectangle 18">
            <a:extLst>
              <a:ext uri="{FF2B5EF4-FFF2-40B4-BE49-F238E27FC236}">
                <a16:creationId xmlns:a16="http://schemas.microsoft.com/office/drawing/2014/main" id="{45C63111-3B23-4D31-A3E3-FFB98FEB8FEA}"/>
              </a:ext>
            </a:extLst>
          </xdr:cNvPr>
          <xdr:cNvSpPr>
            <a:spLocks noChangeArrowheads="1"/>
          </xdr:cNvSpPr>
        </xdr:nvSpPr>
        <xdr:spPr bwMode="auto">
          <a:xfrm>
            <a:off x="372" y="657"/>
            <a:ext cx="49" cy="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0" tIns="0" rIns="0" bIns="0" anchor="t">
            <a:spAutoFit/>
          </a:bodyPr>
          <a:lstStyle/>
          <a:p>
            <a:pPr algn="l" rtl="0">
              <a:defRPr sz="1000"/>
            </a:pPr>
            <a:r>
              <a:rPr lang="en-US" sz="1100" b="0" i="1" u="none" strike="noStrike" baseline="0">
                <a:solidFill>
                  <a:srgbClr val="000000"/>
                </a:solidFill>
                <a:latin typeface="Calibri"/>
                <a:cs typeface="Calibri"/>
              </a:rPr>
              <a:t>Finance</a:t>
            </a:r>
          </a:p>
        </xdr:txBody>
      </xdr:sp>
      <xdr:sp macro="" textlink="">
        <xdr:nvSpPr>
          <xdr:cNvPr id="4115" name="Rectangle 19">
            <a:extLst>
              <a:ext uri="{FF2B5EF4-FFF2-40B4-BE49-F238E27FC236}">
                <a16:creationId xmlns:a16="http://schemas.microsoft.com/office/drawing/2014/main" id="{F3F1DAFE-A241-49D4-A1E9-8F311A6AED13}"/>
              </a:ext>
            </a:extLst>
          </xdr:cNvPr>
          <xdr:cNvSpPr>
            <a:spLocks noChangeArrowheads="1"/>
          </xdr:cNvSpPr>
        </xdr:nvSpPr>
        <xdr:spPr bwMode="auto">
          <a:xfrm>
            <a:off x="482" y="657"/>
            <a:ext cx="16" cy="1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0" tIns="0" rIns="0" bIns="0" anchor="t">
            <a:spAutoFit/>
          </a:bodyPr>
          <a:lstStyle/>
          <a:p>
            <a:pPr algn="l" rtl="0">
              <a:defRPr sz="1000"/>
            </a:pPr>
            <a:r>
              <a:rPr lang="en-US" sz="1100" b="1" i="0" u="none" strike="noStrike" baseline="0">
                <a:solidFill>
                  <a:srgbClr val="000000"/>
                </a:solidFill>
                <a:latin typeface="Calibri"/>
                <a:cs typeface="Calibri"/>
              </a:rPr>
              <a:t>Y -</a:t>
            </a:r>
          </a:p>
        </xdr:txBody>
      </xdr:sp>
      <xdr:sp macro="" textlink="">
        <xdr:nvSpPr>
          <xdr:cNvPr id="4116" name="Rectangle 20">
            <a:extLst>
              <a:ext uri="{FF2B5EF4-FFF2-40B4-BE49-F238E27FC236}">
                <a16:creationId xmlns:a16="http://schemas.microsoft.com/office/drawing/2014/main" id="{23FB63CF-C5F4-46B5-B286-99953F0F7915}"/>
              </a:ext>
            </a:extLst>
          </xdr:cNvPr>
          <xdr:cNvSpPr>
            <a:spLocks noChangeArrowheads="1"/>
          </xdr:cNvSpPr>
        </xdr:nvSpPr>
        <xdr:spPr bwMode="auto">
          <a:xfrm>
            <a:off x="504" y="657"/>
            <a:ext cx="185" cy="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0" tIns="0" rIns="0" bIns="0" anchor="t">
            <a:spAutoFit/>
          </a:bodyPr>
          <a:lstStyle/>
          <a:p>
            <a:pPr algn="l" rtl="0">
              <a:defRPr sz="1000"/>
            </a:pPr>
            <a:r>
              <a:rPr lang="en-US" sz="1100" b="0" i="1" u="none" strike="noStrike" baseline="0">
                <a:solidFill>
                  <a:srgbClr val="000000"/>
                </a:solidFill>
                <a:latin typeface="Calibri"/>
                <a:cs typeface="Calibri"/>
              </a:rPr>
              <a:t>Sci / Tech / Math /Engineering</a:t>
            </a:r>
          </a:p>
        </xdr:txBody>
      </xdr:sp>
      <xdr:sp macro="" textlink="">
        <xdr:nvSpPr>
          <xdr:cNvPr id="4117" name="Rectangle 21">
            <a:extLst>
              <a:ext uri="{FF2B5EF4-FFF2-40B4-BE49-F238E27FC236}">
                <a16:creationId xmlns:a16="http://schemas.microsoft.com/office/drawing/2014/main" id="{E239FEFC-DCFA-463D-9215-15F9B5E80194}"/>
              </a:ext>
            </a:extLst>
          </xdr:cNvPr>
          <xdr:cNvSpPr>
            <a:spLocks noChangeArrowheads="1"/>
          </xdr:cNvSpPr>
        </xdr:nvSpPr>
        <xdr:spPr bwMode="auto">
          <a:xfrm>
            <a:off x="350" y="675"/>
            <a:ext cx="17" cy="1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0" tIns="0" rIns="0" bIns="0" anchor="t">
            <a:spAutoFit/>
          </a:bodyPr>
          <a:lstStyle/>
          <a:p>
            <a:pPr algn="l" rtl="0">
              <a:defRPr sz="1000"/>
            </a:pPr>
            <a:r>
              <a:rPr lang="en-US" sz="1100" b="1" i="0" u="none" strike="noStrike" baseline="0">
                <a:solidFill>
                  <a:srgbClr val="000000"/>
                </a:solidFill>
                <a:latin typeface="Calibri"/>
                <a:cs typeface="Calibri"/>
              </a:rPr>
              <a:t>H -</a:t>
            </a:r>
          </a:p>
        </xdr:txBody>
      </xdr:sp>
      <xdr:sp macro="" textlink="">
        <xdr:nvSpPr>
          <xdr:cNvPr id="4118" name="Rectangle 22">
            <a:extLst>
              <a:ext uri="{FF2B5EF4-FFF2-40B4-BE49-F238E27FC236}">
                <a16:creationId xmlns:a16="http://schemas.microsoft.com/office/drawing/2014/main" id="{DE1CCCE9-2B41-4420-9D96-E87CD39A5458}"/>
              </a:ext>
            </a:extLst>
          </xdr:cNvPr>
          <xdr:cNvSpPr>
            <a:spLocks noChangeArrowheads="1"/>
          </xdr:cNvSpPr>
        </xdr:nvSpPr>
        <xdr:spPr bwMode="auto">
          <a:xfrm>
            <a:off x="372" y="675"/>
            <a:ext cx="89" cy="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0" tIns="0" rIns="0" bIns="0" anchor="t">
            <a:spAutoFit/>
          </a:bodyPr>
          <a:lstStyle/>
          <a:p>
            <a:pPr algn="l" rtl="0">
              <a:defRPr sz="1000"/>
            </a:pPr>
            <a:r>
              <a:rPr lang="en-US" sz="1100" b="0" i="1" u="none" strike="noStrike" baseline="0">
                <a:solidFill>
                  <a:srgbClr val="000000"/>
                </a:solidFill>
                <a:latin typeface="Calibri"/>
                <a:cs typeface="Calibri"/>
              </a:rPr>
              <a:t>Health Science</a:t>
            </a:r>
          </a:p>
        </xdr:txBody>
      </xdr:sp>
      <xdr:sp macro="" textlink="">
        <xdr:nvSpPr>
          <xdr:cNvPr id="4119" name="Rectangle 23">
            <a:extLst>
              <a:ext uri="{FF2B5EF4-FFF2-40B4-BE49-F238E27FC236}">
                <a16:creationId xmlns:a16="http://schemas.microsoft.com/office/drawing/2014/main" id="{A7503587-1BB2-4291-A8E1-2857CBB84F56}"/>
              </a:ext>
            </a:extLst>
          </xdr:cNvPr>
          <xdr:cNvSpPr>
            <a:spLocks noChangeArrowheads="1"/>
          </xdr:cNvSpPr>
        </xdr:nvSpPr>
        <xdr:spPr bwMode="auto">
          <a:xfrm>
            <a:off x="482" y="675"/>
            <a:ext cx="15" cy="1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0" tIns="0" rIns="0" bIns="0" anchor="t">
            <a:spAutoFit/>
          </a:bodyPr>
          <a:lstStyle/>
          <a:p>
            <a:pPr algn="l" rtl="0">
              <a:defRPr sz="1000"/>
            </a:pPr>
            <a:r>
              <a:rPr lang="en-US" sz="1100" b="1" i="0" u="none" strike="noStrike" baseline="0">
                <a:solidFill>
                  <a:srgbClr val="000000"/>
                </a:solidFill>
                <a:latin typeface="Calibri"/>
                <a:cs typeface="Calibri"/>
              </a:rPr>
              <a:t>T -</a:t>
            </a:r>
          </a:p>
        </xdr:txBody>
      </xdr:sp>
      <xdr:sp macro="" textlink="">
        <xdr:nvSpPr>
          <xdr:cNvPr id="4120" name="Rectangle 24">
            <a:extLst>
              <a:ext uri="{FF2B5EF4-FFF2-40B4-BE49-F238E27FC236}">
                <a16:creationId xmlns:a16="http://schemas.microsoft.com/office/drawing/2014/main" id="{C33A12AD-C21F-4BD9-A9AB-BB2D7E02BD3E}"/>
              </a:ext>
            </a:extLst>
          </xdr:cNvPr>
          <xdr:cNvSpPr>
            <a:spLocks noChangeArrowheads="1"/>
          </xdr:cNvSpPr>
        </xdr:nvSpPr>
        <xdr:spPr bwMode="auto">
          <a:xfrm>
            <a:off x="504" y="675"/>
            <a:ext cx="128" cy="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0" tIns="0" rIns="0" bIns="0" anchor="t">
            <a:spAutoFit/>
          </a:bodyPr>
          <a:lstStyle/>
          <a:p>
            <a:pPr algn="l" rtl="0">
              <a:defRPr sz="1000"/>
            </a:pPr>
            <a:r>
              <a:rPr lang="en-US" sz="1100" b="0" i="1" u="none" strike="noStrike" baseline="0">
                <a:solidFill>
                  <a:srgbClr val="000000"/>
                </a:solidFill>
                <a:latin typeface="Calibri"/>
                <a:cs typeface="Calibri"/>
              </a:rPr>
              <a:t>Hospitality / Tourism</a:t>
            </a:r>
          </a:p>
        </xdr:txBody>
      </xdr:sp>
      <xdr:sp macro="" textlink="">
        <xdr:nvSpPr>
          <xdr:cNvPr id="4121" name="Rectangle 25">
            <a:extLst>
              <a:ext uri="{FF2B5EF4-FFF2-40B4-BE49-F238E27FC236}">
                <a16:creationId xmlns:a16="http://schemas.microsoft.com/office/drawing/2014/main" id="{54E700AF-C1FC-47E8-BA11-4068E020C7B0}"/>
              </a:ext>
            </a:extLst>
          </xdr:cNvPr>
          <xdr:cNvSpPr>
            <a:spLocks noChangeArrowheads="1"/>
          </xdr:cNvSpPr>
        </xdr:nvSpPr>
        <xdr:spPr bwMode="auto">
          <a:xfrm>
            <a:off x="350" y="694"/>
            <a:ext cx="15" cy="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0" tIns="0" rIns="0" bIns="0" anchor="t">
            <a:spAutoFit/>
          </a:bodyPr>
          <a:lstStyle/>
          <a:p>
            <a:pPr algn="l" rtl="0">
              <a:defRPr sz="1000"/>
            </a:pPr>
            <a:r>
              <a:rPr lang="en-US" sz="1100" b="1" i="0" u="none" strike="noStrike" baseline="0">
                <a:solidFill>
                  <a:srgbClr val="000000"/>
                </a:solidFill>
                <a:latin typeface="Calibri"/>
                <a:cs typeface="Calibri"/>
              </a:rPr>
              <a:t>S -</a:t>
            </a:r>
          </a:p>
        </xdr:txBody>
      </xdr:sp>
      <xdr:sp macro="" textlink="">
        <xdr:nvSpPr>
          <xdr:cNvPr id="4122" name="Rectangle 26">
            <a:extLst>
              <a:ext uri="{FF2B5EF4-FFF2-40B4-BE49-F238E27FC236}">
                <a16:creationId xmlns:a16="http://schemas.microsoft.com/office/drawing/2014/main" id="{D1375DDC-2583-4828-BB56-B96B1CB52627}"/>
              </a:ext>
            </a:extLst>
          </xdr:cNvPr>
          <xdr:cNvSpPr>
            <a:spLocks noChangeArrowheads="1"/>
          </xdr:cNvSpPr>
        </xdr:nvSpPr>
        <xdr:spPr bwMode="auto">
          <a:xfrm>
            <a:off x="372" y="694"/>
            <a:ext cx="98" cy="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0" tIns="0" rIns="0" bIns="0" anchor="t">
            <a:spAutoFit/>
          </a:bodyPr>
          <a:lstStyle/>
          <a:p>
            <a:pPr algn="l" rtl="0">
              <a:defRPr sz="1000"/>
            </a:pPr>
            <a:r>
              <a:rPr lang="en-US" sz="1100" b="0" i="1" u="none" strike="noStrike" baseline="0">
                <a:solidFill>
                  <a:srgbClr val="000000"/>
                </a:solidFill>
                <a:latin typeface="Calibri"/>
                <a:cs typeface="Calibri"/>
              </a:rPr>
              <a:t>Human Services</a:t>
            </a:r>
          </a:p>
        </xdr:txBody>
      </xdr:sp>
      <xdr:sp macro="" textlink="">
        <xdr:nvSpPr>
          <xdr:cNvPr id="4123" name="Rectangle 27">
            <a:extLst>
              <a:ext uri="{FF2B5EF4-FFF2-40B4-BE49-F238E27FC236}">
                <a16:creationId xmlns:a16="http://schemas.microsoft.com/office/drawing/2014/main" id="{78EAA6F6-6B49-4FCC-9070-EA4E37313E8B}"/>
              </a:ext>
            </a:extLst>
          </xdr:cNvPr>
          <xdr:cNvSpPr>
            <a:spLocks noChangeArrowheads="1"/>
          </xdr:cNvSpPr>
        </xdr:nvSpPr>
        <xdr:spPr bwMode="auto">
          <a:xfrm>
            <a:off x="482" y="694"/>
            <a:ext cx="12" cy="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0" tIns="0" rIns="0" bIns="0" anchor="t">
            <a:spAutoFit/>
          </a:bodyPr>
          <a:lstStyle/>
          <a:p>
            <a:pPr algn="l" rtl="0">
              <a:defRPr sz="1000"/>
            </a:pPr>
            <a:r>
              <a:rPr lang="en-US" sz="1100" b="1" i="0" u="none" strike="noStrike" baseline="0">
                <a:solidFill>
                  <a:srgbClr val="000000"/>
                </a:solidFill>
                <a:latin typeface="Calibri"/>
                <a:cs typeface="Calibri"/>
              </a:rPr>
              <a:t>I -</a:t>
            </a:r>
          </a:p>
        </xdr:txBody>
      </xdr:sp>
      <xdr:sp macro="" textlink="">
        <xdr:nvSpPr>
          <xdr:cNvPr id="4124" name="Rectangle 28">
            <a:extLst>
              <a:ext uri="{FF2B5EF4-FFF2-40B4-BE49-F238E27FC236}">
                <a16:creationId xmlns:a16="http://schemas.microsoft.com/office/drawing/2014/main" id="{31AA8C24-F75F-4F23-8004-F41DB96B4BB3}"/>
              </a:ext>
            </a:extLst>
          </xdr:cNvPr>
          <xdr:cNvSpPr>
            <a:spLocks noChangeArrowheads="1"/>
          </xdr:cNvSpPr>
        </xdr:nvSpPr>
        <xdr:spPr bwMode="auto">
          <a:xfrm>
            <a:off x="504" y="694"/>
            <a:ext cx="149" cy="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0" tIns="0" rIns="0" bIns="0" anchor="t">
            <a:spAutoFit/>
          </a:bodyPr>
          <a:lstStyle/>
          <a:p>
            <a:pPr algn="l" rtl="0">
              <a:defRPr sz="1000"/>
            </a:pPr>
            <a:r>
              <a:rPr lang="en-US" sz="1100" b="0" i="1" u="none" strike="noStrike" baseline="0">
                <a:solidFill>
                  <a:srgbClr val="000000"/>
                </a:solidFill>
                <a:latin typeface="Calibri"/>
                <a:cs typeface="Calibri"/>
              </a:rPr>
              <a:t>Information Technology</a:t>
            </a:r>
          </a:p>
        </xdr:txBody>
      </xdr:sp>
      <xdr:sp macro="" textlink="">
        <xdr:nvSpPr>
          <xdr:cNvPr id="4125" name="Rectangle 29">
            <a:extLst>
              <a:ext uri="{FF2B5EF4-FFF2-40B4-BE49-F238E27FC236}">
                <a16:creationId xmlns:a16="http://schemas.microsoft.com/office/drawing/2014/main" id="{2A4BF818-6EC9-4546-97C6-F2F01A333967}"/>
              </a:ext>
            </a:extLst>
          </xdr:cNvPr>
          <xdr:cNvSpPr>
            <a:spLocks noChangeArrowheads="1"/>
          </xdr:cNvSpPr>
        </xdr:nvSpPr>
        <xdr:spPr bwMode="auto">
          <a:xfrm>
            <a:off x="350" y="712"/>
            <a:ext cx="16" cy="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0" tIns="0" rIns="0" bIns="0" anchor="t">
            <a:spAutoFit/>
          </a:bodyPr>
          <a:lstStyle/>
          <a:p>
            <a:pPr algn="l" rtl="0">
              <a:defRPr sz="1000"/>
            </a:pPr>
            <a:r>
              <a:rPr lang="en-US" sz="1100" b="1" i="0" u="none" strike="noStrike" baseline="0">
                <a:solidFill>
                  <a:srgbClr val="000000"/>
                </a:solidFill>
                <a:latin typeface="Calibri"/>
                <a:cs typeface="Calibri"/>
              </a:rPr>
              <a:t>P -</a:t>
            </a:r>
          </a:p>
        </xdr:txBody>
      </xdr:sp>
      <xdr:sp macro="" textlink="">
        <xdr:nvSpPr>
          <xdr:cNvPr id="4126" name="Rectangle 30">
            <a:extLst>
              <a:ext uri="{FF2B5EF4-FFF2-40B4-BE49-F238E27FC236}">
                <a16:creationId xmlns:a16="http://schemas.microsoft.com/office/drawing/2014/main" id="{56AE34D3-24C0-4C63-850A-7E6C051E995F}"/>
              </a:ext>
            </a:extLst>
          </xdr:cNvPr>
          <xdr:cNvSpPr>
            <a:spLocks noChangeArrowheads="1"/>
          </xdr:cNvSpPr>
        </xdr:nvSpPr>
        <xdr:spPr bwMode="auto">
          <a:xfrm>
            <a:off x="372" y="712"/>
            <a:ext cx="80" cy="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0" tIns="0" rIns="0" bIns="0" anchor="t">
            <a:spAutoFit/>
          </a:bodyPr>
          <a:lstStyle/>
          <a:p>
            <a:pPr algn="l" rtl="0">
              <a:defRPr sz="1000"/>
            </a:pPr>
            <a:r>
              <a:rPr lang="en-US" sz="1100" b="0" i="1" u="none" strike="noStrike" baseline="0">
                <a:solidFill>
                  <a:srgbClr val="000000"/>
                </a:solidFill>
                <a:latin typeface="Calibri"/>
                <a:cs typeface="Calibri"/>
              </a:rPr>
              <a:t>Public Safety</a:t>
            </a:r>
          </a:p>
        </xdr:txBody>
      </xdr:sp>
      <xdr:sp macro="" textlink="">
        <xdr:nvSpPr>
          <xdr:cNvPr id="4127" name="Rectangle 31">
            <a:extLst>
              <a:ext uri="{FF2B5EF4-FFF2-40B4-BE49-F238E27FC236}">
                <a16:creationId xmlns:a16="http://schemas.microsoft.com/office/drawing/2014/main" id="{D8CC7DEC-8958-498B-9E42-C6CEC9F2120A}"/>
              </a:ext>
            </a:extLst>
          </xdr:cNvPr>
          <xdr:cNvSpPr>
            <a:spLocks noChangeArrowheads="1"/>
          </xdr:cNvSpPr>
        </xdr:nvSpPr>
        <xdr:spPr bwMode="auto">
          <a:xfrm>
            <a:off x="482" y="712"/>
            <a:ext cx="18" cy="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0" tIns="0" rIns="0" bIns="0" anchor="t">
            <a:spAutoFit/>
          </a:bodyPr>
          <a:lstStyle/>
          <a:p>
            <a:pPr algn="l" rtl="0">
              <a:defRPr sz="1000"/>
            </a:pPr>
            <a:r>
              <a:rPr lang="en-US" sz="1100" b="1" i="0" u="none" strike="noStrike" baseline="0">
                <a:solidFill>
                  <a:srgbClr val="000000"/>
                </a:solidFill>
                <a:latin typeface="Calibri"/>
                <a:cs typeface="Calibri"/>
              </a:rPr>
              <a:t>N -</a:t>
            </a:r>
          </a:p>
        </xdr:txBody>
      </xdr:sp>
      <xdr:sp macro="" textlink="">
        <xdr:nvSpPr>
          <xdr:cNvPr id="4128" name="Rectangle 32">
            <a:extLst>
              <a:ext uri="{FF2B5EF4-FFF2-40B4-BE49-F238E27FC236}">
                <a16:creationId xmlns:a16="http://schemas.microsoft.com/office/drawing/2014/main" id="{5DD9A3ED-0CA1-4293-A220-289909E3F3C7}"/>
              </a:ext>
            </a:extLst>
          </xdr:cNvPr>
          <xdr:cNvSpPr>
            <a:spLocks noChangeArrowheads="1"/>
          </xdr:cNvSpPr>
        </xdr:nvSpPr>
        <xdr:spPr bwMode="auto">
          <a:xfrm>
            <a:off x="504" y="712"/>
            <a:ext cx="113" cy="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0" tIns="0" rIns="0" bIns="0" anchor="t">
            <a:spAutoFit/>
          </a:bodyPr>
          <a:lstStyle/>
          <a:p>
            <a:pPr algn="l" rtl="0">
              <a:defRPr sz="1000"/>
            </a:pPr>
            <a:r>
              <a:rPr lang="en-US" sz="1100" b="0" i="1" u="none" strike="noStrike" baseline="0">
                <a:solidFill>
                  <a:srgbClr val="000000"/>
                </a:solidFill>
                <a:latin typeface="Calibri"/>
                <a:cs typeface="Calibri"/>
              </a:rPr>
              <a:t>Marketing &amp; Sales</a:t>
            </a:r>
          </a:p>
        </xdr:txBody>
      </xdr:sp>
      <xdr:sp macro="" textlink="">
        <xdr:nvSpPr>
          <xdr:cNvPr id="4129" name="Rectangle 33">
            <a:extLst>
              <a:ext uri="{FF2B5EF4-FFF2-40B4-BE49-F238E27FC236}">
                <a16:creationId xmlns:a16="http://schemas.microsoft.com/office/drawing/2014/main" id="{15FB0D8A-81C9-445F-941F-2C7AF53C47F1}"/>
              </a:ext>
            </a:extLst>
          </xdr:cNvPr>
          <xdr:cNvSpPr>
            <a:spLocks noChangeArrowheads="1"/>
          </xdr:cNvSpPr>
        </xdr:nvSpPr>
        <xdr:spPr bwMode="auto">
          <a:xfrm>
            <a:off x="350" y="729"/>
            <a:ext cx="21" cy="1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0" tIns="0" rIns="0" bIns="0" anchor="t">
            <a:spAutoFit/>
          </a:bodyPr>
          <a:lstStyle/>
          <a:p>
            <a:pPr algn="l" rtl="0">
              <a:defRPr sz="1000"/>
            </a:pPr>
            <a:r>
              <a:rPr lang="en-US" sz="1100" b="1" i="0" u="none" strike="noStrike" baseline="0">
                <a:solidFill>
                  <a:srgbClr val="000000"/>
                </a:solidFill>
                <a:latin typeface="Calibri"/>
                <a:cs typeface="Calibri"/>
              </a:rPr>
              <a:t>M -</a:t>
            </a:r>
          </a:p>
        </xdr:txBody>
      </xdr:sp>
      <xdr:sp macro="" textlink="">
        <xdr:nvSpPr>
          <xdr:cNvPr id="4130" name="Rectangle 34">
            <a:extLst>
              <a:ext uri="{FF2B5EF4-FFF2-40B4-BE49-F238E27FC236}">
                <a16:creationId xmlns:a16="http://schemas.microsoft.com/office/drawing/2014/main" id="{E4CCF35E-42C7-4AFD-A771-A071BF6C137D}"/>
              </a:ext>
            </a:extLst>
          </xdr:cNvPr>
          <xdr:cNvSpPr>
            <a:spLocks noChangeArrowheads="1"/>
          </xdr:cNvSpPr>
        </xdr:nvSpPr>
        <xdr:spPr bwMode="auto">
          <a:xfrm>
            <a:off x="372" y="729"/>
            <a:ext cx="95" cy="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0" tIns="0" rIns="0" bIns="0" anchor="t">
            <a:spAutoFit/>
          </a:bodyPr>
          <a:lstStyle/>
          <a:p>
            <a:pPr algn="l" rtl="0">
              <a:defRPr sz="1000"/>
            </a:pPr>
            <a:r>
              <a:rPr lang="en-US" sz="1100" b="0" i="1" u="none" strike="noStrike" baseline="0">
                <a:solidFill>
                  <a:srgbClr val="000000"/>
                </a:solidFill>
                <a:latin typeface="Calibri"/>
                <a:cs typeface="Calibri"/>
              </a:rPr>
              <a:t>Manufacturing</a:t>
            </a:r>
          </a:p>
        </xdr:txBody>
      </xdr:sp>
      <xdr:sp macro="" textlink="">
        <xdr:nvSpPr>
          <xdr:cNvPr id="4131" name="Rectangle 35">
            <a:extLst>
              <a:ext uri="{FF2B5EF4-FFF2-40B4-BE49-F238E27FC236}">
                <a16:creationId xmlns:a16="http://schemas.microsoft.com/office/drawing/2014/main" id="{0A8B1598-DDD4-4608-9F32-2D8946CE937F}"/>
              </a:ext>
            </a:extLst>
          </xdr:cNvPr>
          <xdr:cNvSpPr>
            <a:spLocks noChangeArrowheads="1"/>
          </xdr:cNvSpPr>
        </xdr:nvSpPr>
        <xdr:spPr bwMode="auto">
          <a:xfrm>
            <a:off x="482" y="729"/>
            <a:ext cx="17" cy="1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0" tIns="0" rIns="0" bIns="0" anchor="t">
            <a:spAutoFit/>
          </a:bodyPr>
          <a:lstStyle/>
          <a:p>
            <a:pPr algn="l" rtl="0">
              <a:defRPr sz="1000"/>
            </a:pPr>
            <a:r>
              <a:rPr lang="en-US" sz="1100" b="1" i="0" u="none" strike="noStrike" baseline="0">
                <a:solidFill>
                  <a:srgbClr val="000000"/>
                </a:solidFill>
                <a:latin typeface="Calibri"/>
                <a:cs typeface="Calibri"/>
              </a:rPr>
              <a:t>D -</a:t>
            </a:r>
          </a:p>
        </xdr:txBody>
      </xdr:sp>
      <xdr:sp macro="" textlink="">
        <xdr:nvSpPr>
          <xdr:cNvPr id="4132" name="Rectangle 36">
            <a:extLst>
              <a:ext uri="{FF2B5EF4-FFF2-40B4-BE49-F238E27FC236}">
                <a16:creationId xmlns:a16="http://schemas.microsoft.com/office/drawing/2014/main" id="{EEFF51C4-E56B-41D6-8583-538FF195C322}"/>
              </a:ext>
            </a:extLst>
          </xdr:cNvPr>
          <xdr:cNvSpPr>
            <a:spLocks noChangeArrowheads="1"/>
          </xdr:cNvSpPr>
        </xdr:nvSpPr>
        <xdr:spPr bwMode="auto">
          <a:xfrm>
            <a:off x="504" y="729"/>
            <a:ext cx="138" cy="1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0" tIns="0" rIns="0" bIns="0" anchor="t">
            <a:spAutoFit/>
          </a:bodyPr>
          <a:lstStyle/>
          <a:p>
            <a:pPr algn="l" rtl="0">
              <a:defRPr sz="1000"/>
            </a:pPr>
            <a:r>
              <a:rPr lang="en-US" sz="1100" b="0" i="1" u="none" strike="noStrike" baseline="0">
                <a:solidFill>
                  <a:srgbClr val="000000"/>
                </a:solidFill>
                <a:latin typeface="Calibri"/>
                <a:cs typeface="Calibri"/>
              </a:rPr>
              <a:t>Logistics &amp; Distribution</a:t>
            </a:r>
          </a:p>
        </xdr:txBody>
      </xdr:sp>
    </xdr:grp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D44CA-E7E2-4F27-B6EB-4BD6EC7BED67}">
  <dimension ref="A1:JU8"/>
  <sheetViews>
    <sheetView zoomScale="70" zoomScaleNormal="70" workbookViewId="0">
      <selection activeCell="C8" sqref="C8:JU8"/>
    </sheetView>
  </sheetViews>
  <sheetFormatPr defaultColWidth="8.81640625" defaultRowHeight="14.5" x14ac:dyDescent="0.35"/>
  <cols>
    <col min="1" max="1" width="21.6328125" customWidth="1"/>
    <col min="2" max="2" width="26.36328125" bestFit="1" customWidth="1"/>
    <col min="11" max="11" width="10.36328125" customWidth="1"/>
  </cols>
  <sheetData>
    <row r="1" spans="1:281" x14ac:dyDescent="0.35">
      <c r="A1" s="67" t="s">
        <v>135</v>
      </c>
      <c r="B1" s="68"/>
      <c r="C1" s="68"/>
      <c r="D1" s="68"/>
      <c r="E1" s="68"/>
      <c r="F1" s="68"/>
      <c r="G1" s="68"/>
      <c r="H1" s="68"/>
      <c r="I1" s="68"/>
      <c r="J1" s="68"/>
      <c r="K1" s="69"/>
    </row>
    <row r="2" spans="1:281" ht="15" thickBot="1" x14ac:dyDescent="0.4">
      <c r="A2" s="70"/>
      <c r="B2" s="71"/>
      <c r="C2" s="71"/>
      <c r="D2" s="71"/>
      <c r="E2" s="71"/>
      <c r="F2" s="71"/>
      <c r="G2" s="71"/>
      <c r="H2" s="71"/>
      <c r="I2" s="71"/>
      <c r="J2" s="71"/>
      <c r="K2" s="72"/>
    </row>
    <row r="3" spans="1:281" ht="15" thickBot="1" x14ac:dyDescent="0.4"/>
    <row r="4" spans="1:281" ht="15" thickBot="1" x14ac:dyDescent="0.4">
      <c r="C4" s="62" t="s">
        <v>42</v>
      </c>
      <c r="CO4" s="62" t="s">
        <v>416</v>
      </c>
      <c r="CU4" s="62" t="s">
        <v>417</v>
      </c>
      <c r="FK4" s="62" t="s">
        <v>423</v>
      </c>
      <c r="HG4" s="62" t="s">
        <v>424</v>
      </c>
      <c r="IM4" s="62" t="s">
        <v>425</v>
      </c>
    </row>
    <row r="5" spans="1:281" ht="15" thickBot="1" x14ac:dyDescent="0.4">
      <c r="C5" s="50"/>
      <c r="CO5" s="50"/>
      <c r="CU5" s="47">
        <v>1</v>
      </c>
      <c r="CV5" s="47">
        <v>2</v>
      </c>
      <c r="CW5" s="47">
        <v>3</v>
      </c>
      <c r="CX5" s="47">
        <v>4</v>
      </c>
      <c r="CY5" s="47">
        <v>5</v>
      </c>
      <c r="CZ5" s="47">
        <v>6</v>
      </c>
      <c r="DA5" s="47">
        <v>7</v>
      </c>
      <c r="DB5" s="47">
        <v>8</v>
      </c>
      <c r="DC5" s="47">
        <v>9</v>
      </c>
      <c r="DD5" s="47">
        <v>10</v>
      </c>
      <c r="DE5" s="47">
        <v>11</v>
      </c>
      <c r="DF5" s="47">
        <v>12</v>
      </c>
      <c r="DG5" s="47">
        <v>13</v>
      </c>
      <c r="DH5" s="47">
        <v>14</v>
      </c>
      <c r="DI5" s="47">
        <v>15</v>
      </c>
      <c r="DJ5" s="47">
        <v>16</v>
      </c>
      <c r="DK5" s="47">
        <v>17</v>
      </c>
      <c r="DL5" s="47">
        <v>18</v>
      </c>
      <c r="DM5" s="47">
        <v>19</v>
      </c>
      <c r="DN5" s="47">
        <v>20</v>
      </c>
      <c r="DO5" s="47">
        <v>21</v>
      </c>
      <c r="DP5" s="47">
        <v>22</v>
      </c>
      <c r="DQ5" s="47">
        <v>23</v>
      </c>
      <c r="DR5" s="47">
        <v>24</v>
      </c>
      <c r="DS5" s="47">
        <v>25</v>
      </c>
      <c r="DT5" s="47">
        <v>26</v>
      </c>
      <c r="DU5" s="47">
        <v>27</v>
      </c>
      <c r="DV5" s="47">
        <v>28</v>
      </c>
      <c r="DW5" s="47">
        <v>29</v>
      </c>
      <c r="DX5" s="47">
        <v>30</v>
      </c>
      <c r="DY5" s="47">
        <v>31</v>
      </c>
      <c r="DZ5" s="47">
        <v>32</v>
      </c>
      <c r="EA5" s="47">
        <v>33</v>
      </c>
      <c r="EB5" s="47">
        <v>34</v>
      </c>
      <c r="EC5" s="47">
        <v>35</v>
      </c>
      <c r="ED5" s="47">
        <v>36</v>
      </c>
      <c r="EE5" s="47">
        <v>37</v>
      </c>
      <c r="EF5" s="47">
        <v>38</v>
      </c>
      <c r="EG5" s="47">
        <v>39</v>
      </c>
      <c r="EH5" s="47">
        <v>40</v>
      </c>
      <c r="EI5" s="47">
        <v>41</v>
      </c>
      <c r="EJ5" s="47">
        <v>42</v>
      </c>
      <c r="EK5" s="47">
        <v>43</v>
      </c>
      <c r="EL5" s="47">
        <v>44</v>
      </c>
      <c r="EM5" s="47">
        <v>45</v>
      </c>
      <c r="EN5" s="47">
        <v>46</v>
      </c>
      <c r="EO5" s="47">
        <v>47</v>
      </c>
      <c r="EP5" s="47">
        <v>48</v>
      </c>
      <c r="EQ5" s="47">
        <v>49</v>
      </c>
      <c r="ER5" s="47">
        <v>50</v>
      </c>
      <c r="ES5" s="47">
        <v>51</v>
      </c>
      <c r="ET5" s="47">
        <v>52</v>
      </c>
      <c r="EU5" s="47">
        <v>53</v>
      </c>
      <c r="EV5" s="47">
        <v>54</v>
      </c>
      <c r="EW5" s="47">
        <v>55</v>
      </c>
      <c r="EX5" s="47">
        <v>56</v>
      </c>
      <c r="EY5" s="47">
        <v>57</v>
      </c>
      <c r="EZ5" s="47">
        <v>58</v>
      </c>
      <c r="FA5" s="47">
        <v>59</v>
      </c>
      <c r="FB5" s="47">
        <v>60</v>
      </c>
      <c r="FC5" s="47">
        <v>61</v>
      </c>
      <c r="FD5" s="47">
        <v>62</v>
      </c>
      <c r="FE5" s="47">
        <v>63</v>
      </c>
      <c r="FF5" s="47">
        <v>64</v>
      </c>
      <c r="FG5" s="47">
        <v>65</v>
      </c>
      <c r="FH5" s="47">
        <v>66</v>
      </c>
      <c r="FI5" s="47">
        <v>67</v>
      </c>
      <c r="FJ5" s="47">
        <v>68</v>
      </c>
      <c r="FK5" s="47">
        <v>1</v>
      </c>
      <c r="FL5" s="47">
        <v>2</v>
      </c>
      <c r="FM5" s="47">
        <v>3</v>
      </c>
      <c r="FN5" s="47">
        <v>4</v>
      </c>
      <c r="FO5" s="47">
        <v>5</v>
      </c>
      <c r="FP5" s="47">
        <v>6</v>
      </c>
      <c r="FQ5" s="47">
        <v>7</v>
      </c>
      <c r="FR5" s="47">
        <v>8</v>
      </c>
      <c r="FS5" s="47">
        <v>9</v>
      </c>
      <c r="FT5" s="47">
        <v>10</v>
      </c>
      <c r="FU5" s="47">
        <v>11</v>
      </c>
      <c r="FV5" s="47">
        <v>12</v>
      </c>
      <c r="FW5" s="47">
        <v>13</v>
      </c>
      <c r="FX5" s="47">
        <v>14</v>
      </c>
      <c r="FY5" s="47">
        <v>15</v>
      </c>
      <c r="FZ5" s="47">
        <v>16</v>
      </c>
      <c r="GA5" s="47">
        <v>17</v>
      </c>
      <c r="GB5" s="47">
        <v>18</v>
      </c>
      <c r="GC5" s="47">
        <v>19</v>
      </c>
      <c r="GD5" s="47">
        <v>20</v>
      </c>
      <c r="GE5" s="47">
        <v>21</v>
      </c>
      <c r="GF5" s="47">
        <v>22</v>
      </c>
      <c r="GG5" s="47">
        <v>23</v>
      </c>
      <c r="GH5" s="47">
        <v>24</v>
      </c>
      <c r="GI5" s="47">
        <v>25</v>
      </c>
      <c r="GJ5" s="47">
        <v>26</v>
      </c>
      <c r="GK5" s="47">
        <v>27</v>
      </c>
      <c r="GL5" s="47">
        <v>28</v>
      </c>
      <c r="GM5" s="47">
        <v>29</v>
      </c>
      <c r="GN5" s="47">
        <v>30</v>
      </c>
      <c r="GO5" s="47">
        <v>31</v>
      </c>
      <c r="GP5" s="47">
        <v>32</v>
      </c>
      <c r="GQ5" s="47">
        <v>33</v>
      </c>
      <c r="GR5" s="47">
        <v>34</v>
      </c>
      <c r="GS5" s="47">
        <v>35</v>
      </c>
      <c r="GT5" s="47">
        <v>36</v>
      </c>
      <c r="GU5" s="47">
        <v>37</v>
      </c>
      <c r="GV5" s="47">
        <v>38</v>
      </c>
      <c r="GW5" s="47">
        <v>39</v>
      </c>
      <c r="GX5" s="47">
        <v>40</v>
      </c>
      <c r="GY5" s="47">
        <v>41</v>
      </c>
      <c r="GZ5" s="47">
        <v>42</v>
      </c>
      <c r="HA5" s="47">
        <v>43</v>
      </c>
      <c r="HB5" s="47">
        <v>44</v>
      </c>
      <c r="HC5" s="47">
        <v>45</v>
      </c>
      <c r="HD5" s="47">
        <v>46</v>
      </c>
      <c r="HE5" s="47">
        <v>47</v>
      </c>
      <c r="HF5" s="47">
        <v>48</v>
      </c>
      <c r="IM5" t="s">
        <v>426</v>
      </c>
      <c r="IN5" t="s">
        <v>427</v>
      </c>
      <c r="IO5" t="s">
        <v>428</v>
      </c>
      <c r="IP5" t="s">
        <v>429</v>
      </c>
      <c r="IQ5" t="s">
        <v>430</v>
      </c>
      <c r="IR5" t="s">
        <v>431</v>
      </c>
      <c r="IS5" t="s">
        <v>432</v>
      </c>
      <c r="IT5" t="s">
        <v>433</v>
      </c>
      <c r="IU5" t="s">
        <v>434</v>
      </c>
      <c r="IV5" t="s">
        <v>435</v>
      </c>
      <c r="IW5" t="s">
        <v>436</v>
      </c>
      <c r="IX5" t="s">
        <v>437</v>
      </c>
      <c r="IY5" t="s">
        <v>438</v>
      </c>
      <c r="IZ5" t="s">
        <v>439</v>
      </c>
      <c r="JA5" t="s">
        <v>440</v>
      </c>
      <c r="JB5" t="s">
        <v>441</v>
      </c>
      <c r="JC5" t="s">
        <v>442</v>
      </c>
      <c r="JD5" t="s">
        <v>443</v>
      </c>
      <c r="JE5" t="s">
        <v>444</v>
      </c>
      <c r="JF5" s="62" t="s">
        <v>424</v>
      </c>
      <c r="JG5" s="62" t="s">
        <v>424</v>
      </c>
      <c r="JH5" s="62" t="s">
        <v>424</v>
      </c>
      <c r="JI5" s="62" t="s">
        <v>424</v>
      </c>
      <c r="JJ5" s="62" t="s">
        <v>424</v>
      </c>
      <c r="JK5" s="62" t="s">
        <v>424</v>
      </c>
      <c r="JL5" s="62" t="s">
        <v>424</v>
      </c>
      <c r="JM5" s="62" t="s">
        <v>424</v>
      </c>
      <c r="JN5" s="62" t="s">
        <v>424</v>
      </c>
      <c r="JO5" s="62" t="s">
        <v>424</v>
      </c>
      <c r="JP5" s="62" t="s">
        <v>424</v>
      </c>
      <c r="JQ5" s="62" t="s">
        <v>424</v>
      </c>
      <c r="JR5" s="62" t="s">
        <v>424</v>
      </c>
      <c r="JS5" s="62" t="s">
        <v>424</v>
      </c>
      <c r="JT5" s="62" t="s">
        <v>424</v>
      </c>
      <c r="JU5" s="62" t="s">
        <v>424</v>
      </c>
    </row>
    <row r="6" spans="1:281" ht="15" thickBot="1" x14ac:dyDescent="0.4">
      <c r="C6" s="65" t="s">
        <v>2</v>
      </c>
      <c r="D6" s="73"/>
      <c r="E6" s="73"/>
      <c r="F6" s="73"/>
      <c r="G6" s="73"/>
      <c r="H6" s="73"/>
      <c r="I6" s="73"/>
      <c r="J6" s="73"/>
      <c r="K6" s="73"/>
      <c r="L6" s="73"/>
      <c r="M6" s="73"/>
      <c r="N6" s="73"/>
      <c r="O6" s="73"/>
      <c r="P6" s="73"/>
      <c r="Q6" s="66"/>
      <c r="R6" s="65" t="s">
        <v>3</v>
      </c>
      <c r="S6" s="73"/>
      <c r="T6" s="73"/>
      <c r="U6" s="73"/>
      <c r="V6" s="73"/>
      <c r="W6" s="73"/>
      <c r="X6" s="73"/>
      <c r="Y6" s="73"/>
      <c r="Z6" s="73"/>
      <c r="AA6" s="73"/>
      <c r="AB6" s="73"/>
      <c r="AC6" s="73"/>
      <c r="AD6" s="73"/>
      <c r="AE6" s="73"/>
      <c r="AF6" s="66"/>
      <c r="AG6" s="65" t="s">
        <v>4</v>
      </c>
      <c r="AH6" s="73"/>
      <c r="AI6" s="73"/>
      <c r="AJ6" s="73"/>
      <c r="AK6" s="73"/>
      <c r="AL6" s="73"/>
      <c r="AM6" s="73"/>
      <c r="AN6" s="73"/>
      <c r="AO6" s="73"/>
      <c r="AP6" s="73"/>
      <c r="AQ6" s="73"/>
      <c r="AR6" s="73"/>
      <c r="AS6" s="73"/>
      <c r="AT6" s="73"/>
      <c r="AU6" s="66"/>
      <c r="AV6" s="65" t="s">
        <v>5</v>
      </c>
      <c r="AW6" s="73"/>
      <c r="AX6" s="73"/>
      <c r="AY6" s="73"/>
      <c r="AZ6" s="73"/>
      <c r="BA6" s="73"/>
      <c r="BB6" s="73"/>
      <c r="BC6" s="73"/>
      <c r="BD6" s="73"/>
      <c r="BE6" s="73"/>
      <c r="BF6" s="73"/>
      <c r="BG6" s="73"/>
      <c r="BH6" s="73"/>
      <c r="BI6" s="73"/>
      <c r="BJ6" s="66"/>
      <c r="BK6" s="65" t="s">
        <v>6</v>
      </c>
      <c r="BL6" s="73"/>
      <c r="BM6" s="73"/>
      <c r="BN6" s="73"/>
      <c r="BO6" s="73"/>
      <c r="BP6" s="73"/>
      <c r="BQ6" s="73"/>
      <c r="BR6" s="73"/>
      <c r="BS6" s="73"/>
      <c r="BT6" s="73"/>
      <c r="BU6" s="73"/>
      <c r="BV6" s="73"/>
      <c r="BW6" s="73"/>
      <c r="BX6" s="73"/>
      <c r="BY6" s="66"/>
      <c r="BZ6" s="65" t="s">
        <v>7</v>
      </c>
      <c r="CA6" s="73"/>
      <c r="CB6" s="73"/>
      <c r="CC6" s="73"/>
      <c r="CD6" s="73"/>
      <c r="CE6" s="73"/>
      <c r="CF6" s="73"/>
      <c r="CG6" s="73"/>
      <c r="CH6" s="73"/>
      <c r="CI6" s="73"/>
      <c r="CJ6" s="73"/>
      <c r="CK6" s="73"/>
      <c r="CL6" s="73"/>
      <c r="CM6" s="73"/>
      <c r="CN6" s="66"/>
      <c r="CO6" s="61" t="s">
        <v>2</v>
      </c>
      <c r="CP6" s="61" t="s">
        <v>3</v>
      </c>
      <c r="CQ6" s="61" t="s">
        <v>5</v>
      </c>
      <c r="CR6" s="61" t="s">
        <v>6</v>
      </c>
      <c r="CS6" s="61" t="s">
        <v>4</v>
      </c>
      <c r="CT6" s="61" t="s">
        <v>7</v>
      </c>
      <c r="CU6" s="65" t="s">
        <v>419</v>
      </c>
      <c r="CV6" s="73"/>
      <c r="CW6" s="73"/>
      <c r="CX6" s="73"/>
      <c r="CY6" s="73"/>
      <c r="CZ6" s="73"/>
      <c r="DA6" s="73"/>
      <c r="DB6" s="73"/>
      <c r="DC6" s="73"/>
      <c r="DD6" s="73"/>
      <c r="DE6" s="73"/>
      <c r="DF6" s="73"/>
      <c r="DG6" s="73"/>
      <c r="DH6" s="73"/>
      <c r="DI6" s="66"/>
      <c r="DJ6" s="65" t="s">
        <v>420</v>
      </c>
      <c r="DK6" s="73"/>
      <c r="DL6" s="73"/>
      <c r="DM6" s="73"/>
      <c r="DN6" s="73"/>
      <c r="DO6" s="73"/>
      <c r="DP6" s="73"/>
      <c r="DQ6" s="73"/>
      <c r="DR6" s="73"/>
      <c r="DS6" s="73"/>
      <c r="DT6" s="73"/>
      <c r="DU6" s="73"/>
      <c r="DV6" s="73"/>
      <c r="DW6" s="73"/>
      <c r="DX6" s="73"/>
      <c r="DY6" s="73"/>
      <c r="DZ6" s="66"/>
      <c r="EA6" s="65" t="s">
        <v>421</v>
      </c>
      <c r="EB6" s="73"/>
      <c r="EC6" s="73"/>
      <c r="ED6" s="73"/>
      <c r="EE6" s="73"/>
      <c r="EF6" s="73"/>
      <c r="EG6" s="73"/>
      <c r="EH6" s="73"/>
      <c r="EI6" s="73"/>
      <c r="EJ6" s="73"/>
      <c r="EK6" s="73"/>
      <c r="EL6" s="73"/>
      <c r="EM6" s="73"/>
      <c r="EN6" s="73"/>
      <c r="EO6" s="73"/>
      <c r="EP6" s="73"/>
      <c r="EQ6" s="73"/>
      <c r="ER6" s="73"/>
      <c r="ES6" s="66"/>
      <c r="ET6" s="65" t="s">
        <v>422</v>
      </c>
      <c r="EU6" s="73"/>
      <c r="EV6" s="73"/>
      <c r="EW6" s="73"/>
      <c r="EX6" s="73"/>
      <c r="EY6" s="73"/>
      <c r="EZ6" s="73"/>
      <c r="FA6" s="73"/>
      <c r="FB6" s="73"/>
      <c r="FC6" s="73"/>
      <c r="FD6" s="73"/>
      <c r="FE6" s="73"/>
      <c r="FF6" s="73"/>
      <c r="FG6" s="73"/>
      <c r="FH6" s="73"/>
      <c r="FI6" s="73"/>
      <c r="FJ6" s="66"/>
      <c r="HG6" s="65" t="s">
        <v>3</v>
      </c>
      <c r="HH6" s="66"/>
      <c r="HI6" s="65" t="s">
        <v>7</v>
      </c>
      <c r="HJ6" s="66"/>
      <c r="HK6" s="65" t="s">
        <v>32</v>
      </c>
      <c r="HL6" s="66"/>
      <c r="HM6" s="65" t="s">
        <v>33</v>
      </c>
      <c r="HN6" s="66"/>
      <c r="HO6" s="65" t="s">
        <v>4</v>
      </c>
      <c r="HP6" s="66"/>
      <c r="HQ6" s="65" t="s">
        <v>10</v>
      </c>
      <c r="HR6" s="66"/>
      <c r="HS6" s="65" t="s">
        <v>34</v>
      </c>
      <c r="HT6" s="66"/>
      <c r="HU6" s="65" t="s">
        <v>35</v>
      </c>
      <c r="HV6" s="66"/>
      <c r="HW6" s="65" t="s">
        <v>9</v>
      </c>
      <c r="HX6" s="66"/>
      <c r="HY6" s="65" t="s">
        <v>6</v>
      </c>
      <c r="HZ6" s="66"/>
      <c r="IA6" s="65" t="s">
        <v>5</v>
      </c>
      <c r="IB6" s="66"/>
      <c r="IC6" s="65" t="s">
        <v>16</v>
      </c>
      <c r="ID6" s="66"/>
      <c r="IE6" s="65" t="s">
        <v>101</v>
      </c>
      <c r="IF6" s="66"/>
      <c r="IG6" s="65" t="s">
        <v>36</v>
      </c>
      <c r="IH6" s="66"/>
      <c r="II6" s="65" t="s">
        <v>37</v>
      </c>
      <c r="IJ6" s="66"/>
      <c r="IK6" s="65" t="s">
        <v>38</v>
      </c>
      <c r="IL6" s="66"/>
      <c r="IM6" s="50"/>
      <c r="IN6" s="50"/>
      <c r="IO6" s="50"/>
      <c r="IP6" s="50"/>
      <c r="IQ6" s="50"/>
      <c r="IR6" s="50"/>
      <c r="IS6" s="50"/>
      <c r="IT6" s="50"/>
      <c r="IU6" s="50"/>
      <c r="IV6" s="50"/>
      <c r="IW6" s="50"/>
      <c r="IX6" s="50"/>
      <c r="IY6" s="50"/>
      <c r="IZ6" s="50"/>
      <c r="JA6" s="50"/>
      <c r="JB6" s="50"/>
      <c r="JF6" s="49" t="s">
        <v>3</v>
      </c>
      <c r="JG6" s="49" t="s">
        <v>7</v>
      </c>
      <c r="JH6" s="49" t="s">
        <v>32</v>
      </c>
      <c r="JI6" s="49" t="s">
        <v>33</v>
      </c>
      <c r="JJ6" s="49" t="s">
        <v>4</v>
      </c>
      <c r="JK6" s="49" t="s">
        <v>10</v>
      </c>
      <c r="JL6" s="49" t="s">
        <v>34</v>
      </c>
      <c r="JM6" s="49" t="s">
        <v>35</v>
      </c>
      <c r="JN6" s="49" t="s">
        <v>9</v>
      </c>
      <c r="JO6" s="49" t="s">
        <v>6</v>
      </c>
      <c r="JP6" s="49" t="s">
        <v>5</v>
      </c>
      <c r="JQ6" s="49" t="s">
        <v>16</v>
      </c>
      <c r="JR6" s="49" t="s">
        <v>101</v>
      </c>
      <c r="JS6" s="49" t="s">
        <v>36</v>
      </c>
      <c r="JT6" s="49" t="s">
        <v>37</v>
      </c>
      <c r="JU6" s="49" t="s">
        <v>38</v>
      </c>
    </row>
    <row r="7" spans="1:281" ht="15" thickBot="1" x14ac:dyDescent="0.4">
      <c r="A7" s="61" t="s">
        <v>136</v>
      </c>
      <c r="B7" s="50"/>
      <c r="C7" s="64" t="s">
        <v>137</v>
      </c>
      <c r="D7" s="64" t="s">
        <v>138</v>
      </c>
      <c r="E7" s="64" t="s">
        <v>139</v>
      </c>
      <c r="F7" s="64" t="s">
        <v>140</v>
      </c>
      <c r="G7" s="64" t="s">
        <v>141</v>
      </c>
      <c r="H7" s="64" t="s">
        <v>142</v>
      </c>
      <c r="I7" s="64" t="s">
        <v>143</v>
      </c>
      <c r="J7" s="64" t="s">
        <v>144</v>
      </c>
      <c r="K7" s="64" t="s">
        <v>145</v>
      </c>
      <c r="L7" s="64" t="s">
        <v>146</v>
      </c>
      <c r="M7" s="64" t="s">
        <v>147</v>
      </c>
      <c r="N7" s="64" t="s">
        <v>148</v>
      </c>
      <c r="O7" s="64" t="s">
        <v>149</v>
      </c>
      <c r="P7" s="64" t="s">
        <v>150</v>
      </c>
      <c r="Q7" s="64" t="s">
        <v>151</v>
      </c>
      <c r="R7" s="64" t="s">
        <v>152</v>
      </c>
      <c r="S7" s="64" t="s">
        <v>153</v>
      </c>
      <c r="T7" s="64" t="s">
        <v>154</v>
      </c>
      <c r="U7" s="64" t="s">
        <v>155</v>
      </c>
      <c r="V7" s="64" t="s">
        <v>156</v>
      </c>
      <c r="W7" s="64" t="s">
        <v>157</v>
      </c>
      <c r="X7" s="64" t="s">
        <v>158</v>
      </c>
      <c r="Y7" s="64" t="s">
        <v>159</v>
      </c>
      <c r="Z7" s="64" t="s">
        <v>160</v>
      </c>
      <c r="AA7" s="64" t="s">
        <v>161</v>
      </c>
      <c r="AB7" s="64" t="s">
        <v>162</v>
      </c>
      <c r="AC7" s="64" t="s">
        <v>163</v>
      </c>
      <c r="AD7" s="64" t="s">
        <v>164</v>
      </c>
      <c r="AE7" s="64" t="s">
        <v>165</v>
      </c>
      <c r="AF7" s="64" t="s">
        <v>166</v>
      </c>
      <c r="AG7" s="64" t="s">
        <v>167</v>
      </c>
      <c r="AH7" s="64" t="s">
        <v>168</v>
      </c>
      <c r="AI7" s="64" t="s">
        <v>169</v>
      </c>
      <c r="AJ7" s="64" t="s">
        <v>170</v>
      </c>
      <c r="AK7" s="64" t="s">
        <v>171</v>
      </c>
      <c r="AL7" s="64" t="s">
        <v>172</v>
      </c>
      <c r="AM7" s="64" t="s">
        <v>173</v>
      </c>
      <c r="AN7" s="64" t="s">
        <v>174</v>
      </c>
      <c r="AO7" s="64" t="s">
        <v>175</v>
      </c>
      <c r="AP7" s="64" t="s">
        <v>176</v>
      </c>
      <c r="AQ7" s="64" t="s">
        <v>177</v>
      </c>
      <c r="AR7" s="64" t="s">
        <v>178</v>
      </c>
      <c r="AS7" s="64" t="s">
        <v>179</v>
      </c>
      <c r="AT7" s="64" t="s">
        <v>180</v>
      </c>
      <c r="AU7" s="64" t="s">
        <v>181</v>
      </c>
      <c r="AV7" s="64" t="s">
        <v>182</v>
      </c>
      <c r="AW7" s="64" t="s">
        <v>183</v>
      </c>
      <c r="AX7" s="64" t="s">
        <v>184</v>
      </c>
      <c r="AY7" s="64" t="s">
        <v>185</v>
      </c>
      <c r="AZ7" s="64" t="s">
        <v>186</v>
      </c>
      <c r="BA7" s="64" t="s">
        <v>187</v>
      </c>
      <c r="BB7" s="64" t="s">
        <v>188</v>
      </c>
      <c r="BC7" s="64" t="s">
        <v>189</v>
      </c>
      <c r="BD7" s="64" t="s">
        <v>190</v>
      </c>
      <c r="BE7" s="64" t="s">
        <v>191</v>
      </c>
      <c r="BF7" s="64" t="s">
        <v>192</v>
      </c>
      <c r="BG7" s="64" t="s">
        <v>193</v>
      </c>
      <c r="BH7" s="64" t="s">
        <v>194</v>
      </c>
      <c r="BI7" s="64" t="s">
        <v>195</v>
      </c>
      <c r="BJ7" s="64" t="s">
        <v>196</v>
      </c>
      <c r="BK7" s="64" t="s">
        <v>197</v>
      </c>
      <c r="BL7" s="64" t="s">
        <v>198</v>
      </c>
      <c r="BM7" s="64" t="s">
        <v>199</v>
      </c>
      <c r="BN7" s="64" t="s">
        <v>200</v>
      </c>
      <c r="BO7" s="64" t="s">
        <v>201</v>
      </c>
      <c r="BP7" s="64" t="s">
        <v>202</v>
      </c>
      <c r="BQ7" s="64" t="s">
        <v>203</v>
      </c>
      <c r="BR7" s="64" t="s">
        <v>204</v>
      </c>
      <c r="BS7" s="64" t="s">
        <v>205</v>
      </c>
      <c r="BT7" s="64" t="s">
        <v>206</v>
      </c>
      <c r="BU7" s="64" t="s">
        <v>207</v>
      </c>
      <c r="BV7" s="64" t="s">
        <v>208</v>
      </c>
      <c r="BW7" s="64" t="s">
        <v>209</v>
      </c>
      <c r="BX7" s="64" t="s">
        <v>210</v>
      </c>
      <c r="BY7" s="64" t="s">
        <v>211</v>
      </c>
      <c r="BZ7" s="64" t="s">
        <v>212</v>
      </c>
      <c r="CA7" s="64" t="s">
        <v>213</v>
      </c>
      <c r="CB7" s="64" t="s">
        <v>214</v>
      </c>
      <c r="CC7" s="64" t="s">
        <v>215</v>
      </c>
      <c r="CD7" s="64" t="s">
        <v>216</v>
      </c>
      <c r="CE7" s="64" t="s">
        <v>217</v>
      </c>
      <c r="CF7" s="64" t="s">
        <v>218</v>
      </c>
      <c r="CG7" s="64" t="s">
        <v>219</v>
      </c>
      <c r="CH7" s="64" t="s">
        <v>220</v>
      </c>
      <c r="CI7" s="64" t="s">
        <v>221</v>
      </c>
      <c r="CJ7" s="64" t="s">
        <v>222</v>
      </c>
      <c r="CK7" s="64" t="s">
        <v>223</v>
      </c>
      <c r="CL7" s="64" t="s">
        <v>224</v>
      </c>
      <c r="CM7" s="64" t="s">
        <v>225</v>
      </c>
      <c r="CN7" s="64" t="s">
        <v>226</v>
      </c>
      <c r="CO7" s="64" t="s">
        <v>227</v>
      </c>
      <c r="CP7" s="64" t="s">
        <v>228</v>
      </c>
      <c r="CQ7" s="64" t="s">
        <v>229</v>
      </c>
      <c r="CR7" s="64" t="s">
        <v>230</v>
      </c>
      <c r="CS7" s="64" t="s">
        <v>231</v>
      </c>
      <c r="CT7" s="64" t="s">
        <v>232</v>
      </c>
      <c r="CU7" s="64" t="s">
        <v>233</v>
      </c>
      <c r="CV7" s="64" t="s">
        <v>234</v>
      </c>
      <c r="CW7" s="64" t="s">
        <v>235</v>
      </c>
      <c r="CX7" s="64" t="s">
        <v>236</v>
      </c>
      <c r="CY7" s="64" t="s">
        <v>237</v>
      </c>
      <c r="CZ7" s="64" t="s">
        <v>238</v>
      </c>
      <c r="DA7" s="64" t="s">
        <v>239</v>
      </c>
      <c r="DB7" s="64" t="s">
        <v>240</v>
      </c>
      <c r="DC7" s="64" t="s">
        <v>241</v>
      </c>
      <c r="DD7" s="64" t="s">
        <v>242</v>
      </c>
      <c r="DE7" s="64" t="s">
        <v>243</v>
      </c>
      <c r="DF7" s="64" t="s">
        <v>244</v>
      </c>
      <c r="DG7" s="64" t="s">
        <v>245</v>
      </c>
      <c r="DH7" s="64" t="s">
        <v>246</v>
      </c>
      <c r="DI7" s="64" t="s">
        <v>247</v>
      </c>
      <c r="DJ7" s="64" t="s">
        <v>248</v>
      </c>
      <c r="DK7" s="64" t="s">
        <v>249</v>
      </c>
      <c r="DL7" s="64" t="s">
        <v>250</v>
      </c>
      <c r="DM7" s="64" t="s">
        <v>251</v>
      </c>
      <c r="DN7" s="64" t="s">
        <v>252</v>
      </c>
      <c r="DO7" s="64" t="s">
        <v>253</v>
      </c>
      <c r="DP7" s="64" t="s">
        <v>254</v>
      </c>
      <c r="DQ7" s="64" t="s">
        <v>255</v>
      </c>
      <c r="DR7" s="64" t="s">
        <v>256</v>
      </c>
      <c r="DS7" s="64" t="s">
        <v>257</v>
      </c>
      <c r="DT7" s="64" t="s">
        <v>258</v>
      </c>
      <c r="DU7" s="64" t="s">
        <v>259</v>
      </c>
      <c r="DV7" s="64" t="s">
        <v>260</v>
      </c>
      <c r="DW7" s="64" t="s">
        <v>261</v>
      </c>
      <c r="DX7" s="64" t="s">
        <v>262</v>
      </c>
      <c r="DY7" s="64" t="s">
        <v>263</v>
      </c>
      <c r="DZ7" s="64" t="s">
        <v>264</v>
      </c>
      <c r="EA7" s="64" t="s">
        <v>265</v>
      </c>
      <c r="EB7" s="64" t="s">
        <v>266</v>
      </c>
      <c r="EC7" s="64" t="s">
        <v>267</v>
      </c>
      <c r="ED7" s="64" t="s">
        <v>268</v>
      </c>
      <c r="EE7" s="64" t="s">
        <v>269</v>
      </c>
      <c r="EF7" s="64" t="s">
        <v>270</v>
      </c>
      <c r="EG7" s="64" t="s">
        <v>271</v>
      </c>
      <c r="EH7" s="64" t="s">
        <v>272</v>
      </c>
      <c r="EI7" s="64" t="s">
        <v>273</v>
      </c>
      <c r="EJ7" s="64" t="s">
        <v>274</v>
      </c>
      <c r="EK7" s="64" t="s">
        <v>275</v>
      </c>
      <c r="EL7" s="64" t="s">
        <v>276</v>
      </c>
      <c r="EM7" s="64" t="s">
        <v>277</v>
      </c>
      <c r="EN7" s="64" t="s">
        <v>278</v>
      </c>
      <c r="EO7" s="64" t="s">
        <v>279</v>
      </c>
      <c r="EP7" s="64" t="s">
        <v>280</v>
      </c>
      <c r="EQ7" s="64" t="s">
        <v>281</v>
      </c>
      <c r="ER7" s="64" t="s">
        <v>282</v>
      </c>
      <c r="ES7" s="64" t="s">
        <v>283</v>
      </c>
      <c r="ET7" s="64" t="s">
        <v>284</v>
      </c>
      <c r="EU7" s="64" t="s">
        <v>285</v>
      </c>
      <c r="EV7" s="64" t="s">
        <v>286</v>
      </c>
      <c r="EW7" s="64" t="s">
        <v>287</v>
      </c>
      <c r="EX7" s="64" t="s">
        <v>288</v>
      </c>
      <c r="EY7" s="64" t="s">
        <v>289</v>
      </c>
      <c r="EZ7" s="64" t="s">
        <v>290</v>
      </c>
      <c r="FA7" s="64" t="s">
        <v>291</v>
      </c>
      <c r="FB7" s="64" t="s">
        <v>292</v>
      </c>
      <c r="FC7" s="64" t="s">
        <v>293</v>
      </c>
      <c r="FD7" s="64" t="s">
        <v>294</v>
      </c>
      <c r="FE7" s="64" t="s">
        <v>295</v>
      </c>
      <c r="FF7" s="64" t="s">
        <v>296</v>
      </c>
      <c r="FG7" s="64" t="s">
        <v>297</v>
      </c>
      <c r="FH7" s="64" t="s">
        <v>298</v>
      </c>
      <c r="FI7" s="64" t="s">
        <v>299</v>
      </c>
      <c r="FJ7" s="64" t="s">
        <v>300</v>
      </c>
      <c r="FK7" s="63" t="s">
        <v>301</v>
      </c>
      <c r="FL7" s="63" t="s">
        <v>302</v>
      </c>
      <c r="FM7" s="63" t="s">
        <v>303</v>
      </c>
      <c r="FN7" s="63" t="s">
        <v>304</v>
      </c>
      <c r="FO7" s="63" t="s">
        <v>305</v>
      </c>
      <c r="FP7" s="63" t="s">
        <v>306</v>
      </c>
      <c r="FQ7" s="63" t="s">
        <v>307</v>
      </c>
      <c r="FR7" s="63" t="s">
        <v>308</v>
      </c>
      <c r="FS7" s="63" t="s">
        <v>309</v>
      </c>
      <c r="FT7" s="63" t="s">
        <v>310</v>
      </c>
      <c r="FU7" s="63" t="s">
        <v>311</v>
      </c>
      <c r="FV7" s="63" t="s">
        <v>312</v>
      </c>
      <c r="FW7" s="63" t="s">
        <v>313</v>
      </c>
      <c r="FX7" s="63" t="s">
        <v>314</v>
      </c>
      <c r="FY7" s="63" t="s">
        <v>315</v>
      </c>
      <c r="FZ7" s="63" t="s">
        <v>316</v>
      </c>
      <c r="GA7" s="63" t="s">
        <v>317</v>
      </c>
      <c r="GB7" s="63" t="s">
        <v>318</v>
      </c>
      <c r="GC7" s="63" t="s">
        <v>319</v>
      </c>
      <c r="GD7" s="63" t="s">
        <v>320</v>
      </c>
      <c r="GE7" s="63" t="s">
        <v>321</v>
      </c>
      <c r="GF7" s="63" t="s">
        <v>322</v>
      </c>
      <c r="GG7" s="63" t="s">
        <v>323</v>
      </c>
      <c r="GH7" s="63" t="s">
        <v>324</v>
      </c>
      <c r="GI7" s="63" t="s">
        <v>325</v>
      </c>
      <c r="GJ7" s="63" t="s">
        <v>326</v>
      </c>
      <c r="GK7" s="63" t="s">
        <v>327</v>
      </c>
      <c r="GL7" s="63" t="s">
        <v>328</v>
      </c>
      <c r="GM7" s="63" t="s">
        <v>329</v>
      </c>
      <c r="GN7" s="63" t="s">
        <v>330</v>
      </c>
      <c r="GO7" s="63" t="s">
        <v>331</v>
      </c>
      <c r="GP7" s="63" t="s">
        <v>332</v>
      </c>
      <c r="GQ7" s="63" t="s">
        <v>333</v>
      </c>
      <c r="GR7" s="63" t="s">
        <v>334</v>
      </c>
      <c r="GS7" s="63" t="s">
        <v>335</v>
      </c>
      <c r="GT7" s="63" t="s">
        <v>336</v>
      </c>
      <c r="GU7" s="63" t="s">
        <v>337</v>
      </c>
      <c r="GV7" s="63" t="s">
        <v>338</v>
      </c>
      <c r="GW7" s="63" t="s">
        <v>339</v>
      </c>
      <c r="GX7" s="63" t="s">
        <v>340</v>
      </c>
      <c r="GY7" s="63" t="s">
        <v>341</v>
      </c>
      <c r="GZ7" s="63" t="s">
        <v>342</v>
      </c>
      <c r="HA7" s="63" t="s">
        <v>343</v>
      </c>
      <c r="HB7" s="63" t="s">
        <v>344</v>
      </c>
      <c r="HC7" s="63" t="s">
        <v>345</v>
      </c>
      <c r="HD7" s="63" t="s">
        <v>346</v>
      </c>
      <c r="HE7" s="63" t="s">
        <v>347</v>
      </c>
      <c r="HF7" s="63" t="s">
        <v>348</v>
      </c>
      <c r="HG7" s="64" t="s">
        <v>349</v>
      </c>
      <c r="HH7" s="64" t="s">
        <v>350</v>
      </c>
      <c r="HI7" s="64" t="s">
        <v>351</v>
      </c>
      <c r="HJ7" s="64" t="s">
        <v>352</v>
      </c>
      <c r="HK7" s="64" t="s">
        <v>353</v>
      </c>
      <c r="HL7" s="64" t="s">
        <v>354</v>
      </c>
      <c r="HM7" s="64" t="s">
        <v>355</v>
      </c>
      <c r="HN7" s="64" t="s">
        <v>356</v>
      </c>
      <c r="HO7" s="64" t="s">
        <v>357</v>
      </c>
      <c r="HP7" s="64" t="s">
        <v>358</v>
      </c>
      <c r="HQ7" s="64" t="s">
        <v>359</v>
      </c>
      <c r="HR7" s="64" t="s">
        <v>360</v>
      </c>
      <c r="HS7" s="64" t="s">
        <v>361</v>
      </c>
      <c r="HT7" s="64" t="s">
        <v>362</v>
      </c>
      <c r="HU7" s="64" t="s">
        <v>363</v>
      </c>
      <c r="HV7" s="64" t="s">
        <v>364</v>
      </c>
      <c r="HW7" s="64" t="s">
        <v>365</v>
      </c>
      <c r="HX7" s="64" t="s">
        <v>366</v>
      </c>
      <c r="HY7" s="64" t="s">
        <v>367</v>
      </c>
      <c r="HZ7" s="64" t="s">
        <v>368</v>
      </c>
      <c r="IA7" s="64" t="s">
        <v>369</v>
      </c>
      <c r="IB7" s="64" t="s">
        <v>370</v>
      </c>
      <c r="IC7" s="64" t="s">
        <v>371</v>
      </c>
      <c r="ID7" s="64" t="s">
        <v>372</v>
      </c>
      <c r="IE7" s="64" t="s">
        <v>373</v>
      </c>
      <c r="IF7" s="64" t="s">
        <v>374</v>
      </c>
      <c r="IG7" s="64" t="s">
        <v>375</v>
      </c>
      <c r="IH7" s="64" t="s">
        <v>376</v>
      </c>
      <c r="II7" s="64" t="s">
        <v>377</v>
      </c>
      <c r="IJ7" s="64" t="s">
        <v>378</v>
      </c>
      <c r="IK7" s="64" t="s">
        <v>379</v>
      </c>
      <c r="IL7" s="64" t="s">
        <v>380</v>
      </c>
      <c r="IM7" s="64" t="s">
        <v>381</v>
      </c>
      <c r="IN7" s="64" t="s">
        <v>382</v>
      </c>
      <c r="IO7" s="64" t="s">
        <v>383</v>
      </c>
      <c r="IP7" s="64" t="s">
        <v>384</v>
      </c>
      <c r="IQ7" s="64" t="s">
        <v>385</v>
      </c>
      <c r="IR7" s="64" t="s">
        <v>386</v>
      </c>
      <c r="IS7" s="64" t="s">
        <v>387</v>
      </c>
      <c r="IT7" s="64" t="s">
        <v>388</v>
      </c>
      <c r="IU7" s="64" t="s">
        <v>389</v>
      </c>
      <c r="IV7" s="64" t="s">
        <v>390</v>
      </c>
      <c r="IW7" s="64" t="s">
        <v>391</v>
      </c>
      <c r="IX7" s="64" t="s">
        <v>392</v>
      </c>
      <c r="IY7" s="64" t="s">
        <v>393</v>
      </c>
      <c r="IZ7" s="64" t="s">
        <v>394</v>
      </c>
      <c r="JA7" s="64" t="s">
        <v>395</v>
      </c>
      <c r="JB7" s="64" t="s">
        <v>396</v>
      </c>
      <c r="JC7" s="63" t="s">
        <v>397</v>
      </c>
      <c r="JD7" s="63" t="s">
        <v>398</v>
      </c>
      <c r="JE7" s="63" t="s">
        <v>399</v>
      </c>
      <c r="JF7" s="63" t="s">
        <v>400</v>
      </c>
      <c r="JG7" s="63" t="s">
        <v>401</v>
      </c>
      <c r="JH7" s="63" t="s">
        <v>402</v>
      </c>
      <c r="JI7" s="63" t="s">
        <v>403</v>
      </c>
      <c r="JJ7" s="63" t="s">
        <v>404</v>
      </c>
      <c r="JK7" s="63" t="s">
        <v>405</v>
      </c>
      <c r="JL7" s="63" t="s">
        <v>406</v>
      </c>
      <c r="JM7" s="63" t="s">
        <v>407</v>
      </c>
      <c r="JN7" s="63" t="s">
        <v>408</v>
      </c>
      <c r="JO7" s="63" t="s">
        <v>409</v>
      </c>
      <c r="JP7" s="63" t="s">
        <v>410</v>
      </c>
      <c r="JQ7" s="63" t="s">
        <v>411</v>
      </c>
      <c r="JR7" s="63" t="s">
        <v>412</v>
      </c>
      <c r="JS7" s="63" t="s">
        <v>413</v>
      </c>
      <c r="JT7" s="63" t="s">
        <v>414</v>
      </c>
      <c r="JU7" s="63" t="s">
        <v>415</v>
      </c>
    </row>
    <row r="8" spans="1:281" x14ac:dyDescent="0.35">
      <c r="B8" s="50" t="s">
        <v>418</v>
      </c>
      <c r="C8">
        <v>0</v>
      </c>
      <c r="D8">
        <v>1</v>
      </c>
      <c r="E8">
        <v>0</v>
      </c>
      <c r="F8">
        <v>0</v>
      </c>
      <c r="G8">
        <v>1</v>
      </c>
      <c r="H8">
        <v>1</v>
      </c>
      <c r="I8">
        <v>0</v>
      </c>
      <c r="J8">
        <v>0</v>
      </c>
      <c r="K8">
        <v>0</v>
      </c>
      <c r="L8">
        <v>1</v>
      </c>
      <c r="M8">
        <v>0</v>
      </c>
      <c r="N8">
        <v>0</v>
      </c>
      <c r="O8">
        <v>1</v>
      </c>
      <c r="P8">
        <v>1</v>
      </c>
      <c r="Q8">
        <v>1</v>
      </c>
      <c r="R8">
        <v>0</v>
      </c>
      <c r="S8">
        <v>0</v>
      </c>
      <c r="T8">
        <v>1</v>
      </c>
      <c r="U8">
        <v>0</v>
      </c>
      <c r="V8">
        <v>0</v>
      </c>
      <c r="W8">
        <v>0</v>
      </c>
      <c r="X8">
        <v>0</v>
      </c>
      <c r="Y8">
        <v>0</v>
      </c>
      <c r="Z8">
        <v>1</v>
      </c>
      <c r="AA8">
        <v>0</v>
      </c>
      <c r="AB8">
        <v>0</v>
      </c>
      <c r="AC8">
        <v>0</v>
      </c>
      <c r="AD8">
        <v>0</v>
      </c>
      <c r="AE8">
        <v>0</v>
      </c>
      <c r="AF8">
        <v>0</v>
      </c>
      <c r="AG8">
        <v>0</v>
      </c>
      <c r="AH8">
        <v>0</v>
      </c>
      <c r="AI8">
        <v>0</v>
      </c>
      <c r="AJ8">
        <v>0</v>
      </c>
      <c r="AK8">
        <v>1</v>
      </c>
      <c r="AL8">
        <v>0</v>
      </c>
      <c r="AM8">
        <v>0</v>
      </c>
      <c r="AN8">
        <v>0</v>
      </c>
      <c r="AO8">
        <v>1</v>
      </c>
      <c r="AP8">
        <v>0</v>
      </c>
      <c r="AQ8">
        <v>0</v>
      </c>
      <c r="AR8">
        <v>1</v>
      </c>
      <c r="AS8">
        <v>1</v>
      </c>
      <c r="AT8">
        <v>0</v>
      </c>
      <c r="AU8">
        <v>0</v>
      </c>
      <c r="AV8">
        <v>1</v>
      </c>
      <c r="AW8">
        <v>0</v>
      </c>
      <c r="AX8">
        <v>0</v>
      </c>
      <c r="AY8">
        <v>1</v>
      </c>
      <c r="AZ8">
        <v>1</v>
      </c>
      <c r="BA8">
        <v>0</v>
      </c>
      <c r="BB8">
        <v>0</v>
      </c>
      <c r="BC8">
        <v>0</v>
      </c>
      <c r="BD8">
        <v>0</v>
      </c>
      <c r="BE8">
        <v>1</v>
      </c>
      <c r="BF8">
        <v>0</v>
      </c>
      <c r="BG8">
        <v>0</v>
      </c>
      <c r="BH8">
        <v>0</v>
      </c>
      <c r="BI8">
        <v>1</v>
      </c>
      <c r="BJ8">
        <v>1</v>
      </c>
      <c r="BK8">
        <v>1</v>
      </c>
      <c r="BL8">
        <v>0</v>
      </c>
      <c r="BM8">
        <v>1</v>
      </c>
      <c r="BN8">
        <v>1</v>
      </c>
      <c r="BO8">
        <v>0</v>
      </c>
      <c r="BP8">
        <v>1</v>
      </c>
      <c r="BQ8">
        <v>0</v>
      </c>
      <c r="BR8">
        <v>0</v>
      </c>
      <c r="BS8">
        <v>1</v>
      </c>
      <c r="BT8">
        <v>1</v>
      </c>
      <c r="BU8">
        <v>0</v>
      </c>
      <c r="BV8">
        <v>0</v>
      </c>
      <c r="BW8">
        <v>1</v>
      </c>
      <c r="BX8">
        <v>0</v>
      </c>
      <c r="BY8">
        <v>0</v>
      </c>
      <c r="BZ8">
        <v>0</v>
      </c>
      <c r="CA8">
        <v>1</v>
      </c>
      <c r="CB8">
        <v>1</v>
      </c>
      <c r="CC8">
        <v>1</v>
      </c>
      <c r="CD8">
        <v>1</v>
      </c>
      <c r="CE8">
        <v>1</v>
      </c>
      <c r="CF8">
        <v>1</v>
      </c>
      <c r="CG8">
        <v>1</v>
      </c>
      <c r="CH8">
        <v>1</v>
      </c>
      <c r="CI8">
        <v>0</v>
      </c>
      <c r="CJ8">
        <v>0</v>
      </c>
      <c r="CK8">
        <v>0</v>
      </c>
      <c r="CL8">
        <v>0</v>
      </c>
      <c r="CM8">
        <v>0</v>
      </c>
      <c r="CN8">
        <v>1</v>
      </c>
      <c r="CO8">
        <v>2</v>
      </c>
      <c r="CP8">
        <v>1</v>
      </c>
      <c r="CQ8">
        <v>0</v>
      </c>
      <c r="CR8">
        <v>1</v>
      </c>
      <c r="CS8">
        <v>2</v>
      </c>
      <c r="CT8">
        <v>1</v>
      </c>
      <c r="CU8">
        <v>1</v>
      </c>
      <c r="CV8">
        <v>0</v>
      </c>
      <c r="CW8">
        <v>0</v>
      </c>
      <c r="CX8">
        <v>1</v>
      </c>
      <c r="CY8">
        <v>1</v>
      </c>
      <c r="CZ8">
        <v>1</v>
      </c>
      <c r="DA8">
        <v>0</v>
      </c>
      <c r="DB8">
        <v>0</v>
      </c>
      <c r="DC8">
        <v>0</v>
      </c>
      <c r="DD8">
        <v>0</v>
      </c>
      <c r="DE8">
        <v>0</v>
      </c>
      <c r="DF8">
        <v>0</v>
      </c>
      <c r="DG8">
        <v>0</v>
      </c>
      <c r="DH8">
        <v>0</v>
      </c>
      <c r="DI8">
        <v>0</v>
      </c>
      <c r="DJ8">
        <v>0</v>
      </c>
      <c r="DK8">
        <v>1</v>
      </c>
      <c r="DL8">
        <v>1</v>
      </c>
      <c r="DM8">
        <v>0</v>
      </c>
      <c r="DN8">
        <v>1</v>
      </c>
      <c r="DO8">
        <v>1</v>
      </c>
      <c r="DP8">
        <v>1</v>
      </c>
      <c r="DQ8">
        <v>0</v>
      </c>
      <c r="DR8">
        <v>0</v>
      </c>
      <c r="DS8">
        <v>1</v>
      </c>
      <c r="DT8">
        <v>1</v>
      </c>
      <c r="DU8">
        <v>1</v>
      </c>
      <c r="DV8">
        <v>1</v>
      </c>
      <c r="DW8">
        <v>1</v>
      </c>
      <c r="DX8">
        <v>0</v>
      </c>
      <c r="DY8">
        <v>1</v>
      </c>
      <c r="DZ8">
        <v>1</v>
      </c>
      <c r="EA8">
        <v>0</v>
      </c>
      <c r="EB8">
        <v>0</v>
      </c>
      <c r="EC8">
        <v>0</v>
      </c>
      <c r="ED8">
        <v>0</v>
      </c>
      <c r="EE8">
        <v>1</v>
      </c>
      <c r="EF8">
        <v>1</v>
      </c>
      <c r="EG8">
        <v>0</v>
      </c>
      <c r="EH8">
        <v>1</v>
      </c>
      <c r="EI8">
        <v>1</v>
      </c>
      <c r="EJ8">
        <v>0</v>
      </c>
      <c r="EK8">
        <v>1</v>
      </c>
      <c r="EL8">
        <v>1</v>
      </c>
      <c r="EM8">
        <v>0</v>
      </c>
      <c r="EN8">
        <v>0</v>
      </c>
      <c r="EO8">
        <v>0</v>
      </c>
      <c r="EP8">
        <v>0</v>
      </c>
      <c r="EQ8">
        <v>0</v>
      </c>
      <c r="ER8">
        <v>0</v>
      </c>
      <c r="ES8">
        <v>0</v>
      </c>
      <c r="ET8">
        <v>1</v>
      </c>
      <c r="EU8">
        <v>1</v>
      </c>
      <c r="EV8">
        <v>0</v>
      </c>
      <c r="EW8">
        <v>1</v>
      </c>
      <c r="EX8">
        <v>1</v>
      </c>
      <c r="EY8">
        <v>1</v>
      </c>
      <c r="EZ8">
        <v>1</v>
      </c>
      <c r="FA8">
        <v>1</v>
      </c>
      <c r="FB8">
        <v>1</v>
      </c>
      <c r="FC8">
        <v>1</v>
      </c>
      <c r="FD8">
        <v>0</v>
      </c>
      <c r="FE8">
        <v>0</v>
      </c>
      <c r="FF8">
        <v>0</v>
      </c>
      <c r="FG8">
        <v>1</v>
      </c>
      <c r="FH8">
        <v>0</v>
      </c>
      <c r="FI8">
        <v>0</v>
      </c>
      <c r="FJ8">
        <v>0</v>
      </c>
      <c r="FK8">
        <v>0</v>
      </c>
      <c r="FL8">
        <v>1</v>
      </c>
      <c r="FM8">
        <v>1</v>
      </c>
      <c r="FN8">
        <v>1</v>
      </c>
      <c r="FO8">
        <v>0</v>
      </c>
      <c r="FP8">
        <v>1</v>
      </c>
      <c r="FQ8">
        <v>0</v>
      </c>
      <c r="FR8">
        <v>1</v>
      </c>
      <c r="FS8">
        <v>0</v>
      </c>
      <c r="FT8">
        <v>1</v>
      </c>
      <c r="FU8">
        <v>1</v>
      </c>
      <c r="FV8">
        <v>1</v>
      </c>
      <c r="FW8">
        <v>0</v>
      </c>
      <c r="FX8">
        <v>0</v>
      </c>
      <c r="FY8">
        <v>0</v>
      </c>
      <c r="FZ8">
        <v>1</v>
      </c>
      <c r="GA8">
        <v>1</v>
      </c>
      <c r="GB8">
        <v>1</v>
      </c>
      <c r="GC8">
        <v>0</v>
      </c>
      <c r="GD8">
        <v>1</v>
      </c>
      <c r="GE8">
        <v>1</v>
      </c>
      <c r="GF8">
        <v>1</v>
      </c>
      <c r="GG8">
        <v>0</v>
      </c>
      <c r="GH8">
        <v>0</v>
      </c>
      <c r="GI8">
        <v>0</v>
      </c>
      <c r="GJ8">
        <v>1</v>
      </c>
      <c r="GK8">
        <v>0</v>
      </c>
      <c r="GL8">
        <v>1</v>
      </c>
      <c r="GM8">
        <v>1</v>
      </c>
      <c r="GN8">
        <v>1</v>
      </c>
      <c r="GO8">
        <v>1</v>
      </c>
      <c r="GP8">
        <v>1</v>
      </c>
      <c r="GQ8">
        <v>0</v>
      </c>
      <c r="GR8">
        <v>1</v>
      </c>
      <c r="GS8">
        <v>1</v>
      </c>
      <c r="GT8">
        <v>0</v>
      </c>
      <c r="GU8">
        <v>0</v>
      </c>
      <c r="GV8">
        <v>0</v>
      </c>
      <c r="GW8">
        <v>0</v>
      </c>
      <c r="GX8">
        <v>1</v>
      </c>
      <c r="GY8">
        <v>1</v>
      </c>
      <c r="GZ8">
        <v>1</v>
      </c>
      <c r="HA8">
        <v>1</v>
      </c>
      <c r="HB8">
        <v>1</v>
      </c>
      <c r="HC8">
        <v>0</v>
      </c>
      <c r="HD8">
        <v>1</v>
      </c>
      <c r="HE8">
        <v>0</v>
      </c>
      <c r="HF8">
        <v>1</v>
      </c>
      <c r="HG8">
        <v>1</v>
      </c>
      <c r="HH8">
        <v>0</v>
      </c>
      <c r="HI8">
        <v>4</v>
      </c>
      <c r="HJ8">
        <v>2</v>
      </c>
      <c r="HK8">
        <v>1</v>
      </c>
      <c r="HL8">
        <v>1</v>
      </c>
      <c r="HM8">
        <v>3</v>
      </c>
      <c r="HN8">
        <v>2</v>
      </c>
      <c r="HO8">
        <v>2</v>
      </c>
      <c r="HP8">
        <v>2</v>
      </c>
      <c r="HQ8">
        <v>4</v>
      </c>
      <c r="HR8">
        <v>0</v>
      </c>
      <c r="HS8">
        <v>3</v>
      </c>
      <c r="HT8">
        <v>2</v>
      </c>
      <c r="HU8">
        <v>3</v>
      </c>
      <c r="HV8">
        <v>2</v>
      </c>
      <c r="HW8">
        <v>2</v>
      </c>
      <c r="HX8">
        <v>3</v>
      </c>
      <c r="HY8">
        <v>3</v>
      </c>
      <c r="HZ8">
        <v>1</v>
      </c>
      <c r="IA8">
        <v>0</v>
      </c>
      <c r="IB8">
        <v>2</v>
      </c>
      <c r="IC8">
        <v>2</v>
      </c>
      <c r="ID8">
        <v>1</v>
      </c>
      <c r="IE8">
        <v>4</v>
      </c>
      <c r="IF8">
        <v>3</v>
      </c>
      <c r="IG8">
        <v>2</v>
      </c>
      <c r="IH8">
        <v>1</v>
      </c>
      <c r="II8">
        <v>0</v>
      </c>
      <c r="IJ8">
        <v>1</v>
      </c>
      <c r="IK8">
        <v>2</v>
      </c>
      <c r="IL8">
        <v>2</v>
      </c>
      <c r="IM8">
        <v>0</v>
      </c>
      <c r="IN8">
        <v>1</v>
      </c>
      <c r="IO8">
        <v>1</v>
      </c>
      <c r="IP8">
        <v>0</v>
      </c>
      <c r="IQ8">
        <v>0</v>
      </c>
      <c r="IR8">
        <v>0</v>
      </c>
      <c r="IS8">
        <v>1</v>
      </c>
      <c r="IT8">
        <v>0</v>
      </c>
      <c r="IU8">
        <v>1</v>
      </c>
      <c r="IV8">
        <v>1</v>
      </c>
      <c r="IW8">
        <v>1</v>
      </c>
      <c r="IX8">
        <v>1</v>
      </c>
      <c r="IY8">
        <v>1</v>
      </c>
      <c r="IZ8">
        <v>0</v>
      </c>
      <c r="JA8">
        <v>0</v>
      </c>
      <c r="JB8">
        <v>1</v>
      </c>
      <c r="JC8">
        <v>1</v>
      </c>
      <c r="JD8">
        <v>1</v>
      </c>
      <c r="JE8">
        <v>1</v>
      </c>
      <c r="JF8">
        <v>0</v>
      </c>
      <c r="JG8">
        <v>0</v>
      </c>
      <c r="JH8">
        <v>1</v>
      </c>
      <c r="JI8">
        <v>1</v>
      </c>
      <c r="JJ8">
        <v>0</v>
      </c>
      <c r="JK8">
        <v>1</v>
      </c>
      <c r="JL8">
        <v>0</v>
      </c>
      <c r="JM8">
        <v>0</v>
      </c>
      <c r="JN8">
        <v>0</v>
      </c>
      <c r="JO8">
        <v>0</v>
      </c>
      <c r="JP8">
        <v>0</v>
      </c>
      <c r="JQ8">
        <v>0</v>
      </c>
      <c r="JR8">
        <v>0</v>
      </c>
      <c r="JS8">
        <v>1</v>
      </c>
      <c r="JT8">
        <v>0</v>
      </c>
      <c r="JU8">
        <v>1</v>
      </c>
    </row>
  </sheetData>
  <mergeCells count="27">
    <mergeCell ref="HG6:HH6"/>
    <mergeCell ref="HI6:HJ6"/>
    <mergeCell ref="HU6:HV6"/>
    <mergeCell ref="HW6:HX6"/>
    <mergeCell ref="HY6:HZ6"/>
    <mergeCell ref="HK6:HL6"/>
    <mergeCell ref="HM6:HN6"/>
    <mergeCell ref="HO6:HP6"/>
    <mergeCell ref="HQ6:HR6"/>
    <mergeCell ref="A1:K2"/>
    <mergeCell ref="CU6:DI6"/>
    <mergeCell ref="DJ6:DZ6"/>
    <mergeCell ref="EA6:ES6"/>
    <mergeCell ref="ET6:FJ6"/>
    <mergeCell ref="C6:Q6"/>
    <mergeCell ref="R6:AF6"/>
    <mergeCell ref="AG6:AU6"/>
    <mergeCell ref="AV6:BJ6"/>
    <mergeCell ref="BK6:BY6"/>
    <mergeCell ref="BZ6:CN6"/>
    <mergeCell ref="IK6:IL6"/>
    <mergeCell ref="HS6:HT6"/>
    <mergeCell ref="IC6:ID6"/>
    <mergeCell ref="IE6:IF6"/>
    <mergeCell ref="IG6:IH6"/>
    <mergeCell ref="II6:IJ6"/>
    <mergeCell ref="IA6:IB6"/>
  </mergeCells>
  <phoneticPr fontId="11" type="noConversion"/>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35"/>
  <sheetViews>
    <sheetView topLeftCell="A6" workbookViewId="0">
      <selection activeCell="D105" sqref="D105"/>
    </sheetView>
  </sheetViews>
  <sheetFormatPr defaultColWidth="9.1796875" defaultRowHeight="14.5" x14ac:dyDescent="0.35"/>
  <cols>
    <col min="1" max="2" width="9.1796875" style="2"/>
    <col min="3" max="3" width="7" style="2" customWidth="1"/>
    <col min="4" max="16384" width="9.1796875" style="2"/>
  </cols>
  <sheetData>
    <row r="1" spans="1:5" x14ac:dyDescent="0.35">
      <c r="A1" s="2" t="s">
        <v>64</v>
      </c>
    </row>
    <row r="3" spans="1:5" ht="15" thickBot="1" x14ac:dyDescent="0.4">
      <c r="B3" s="2" t="s">
        <v>0</v>
      </c>
      <c r="D3" s="2" t="s">
        <v>1</v>
      </c>
      <c r="E3" s="2" t="s">
        <v>8</v>
      </c>
    </row>
    <row r="4" spans="1:5" ht="15" thickBot="1" x14ac:dyDescent="0.4">
      <c r="A4" s="1" t="s">
        <v>2</v>
      </c>
      <c r="B4" s="2">
        <v>1</v>
      </c>
      <c r="D4" s="15">
        <f>Dashboard!C8</f>
        <v>0</v>
      </c>
    </row>
    <row r="5" spans="1:5" ht="15" thickBot="1" x14ac:dyDescent="0.4">
      <c r="B5" s="2">
        <v>2</v>
      </c>
      <c r="D5" s="15">
        <f>Dashboard!D8</f>
        <v>1</v>
      </c>
    </row>
    <row r="6" spans="1:5" ht="15" thickBot="1" x14ac:dyDescent="0.4">
      <c r="B6" s="2">
        <v>3</v>
      </c>
      <c r="D6" s="15">
        <f>Dashboard!E8</f>
        <v>0</v>
      </c>
    </row>
    <row r="7" spans="1:5" ht="15" thickBot="1" x14ac:dyDescent="0.4">
      <c r="B7" s="2">
        <v>4</v>
      </c>
      <c r="D7" s="15">
        <f>Dashboard!F8</f>
        <v>0</v>
      </c>
    </row>
    <row r="8" spans="1:5" ht="15" thickBot="1" x14ac:dyDescent="0.4">
      <c r="B8" s="2">
        <v>5</v>
      </c>
      <c r="D8" s="15">
        <f>Dashboard!G8</f>
        <v>1</v>
      </c>
    </row>
    <row r="9" spans="1:5" ht="15" thickBot="1" x14ac:dyDescent="0.4">
      <c r="B9" s="2">
        <v>6</v>
      </c>
      <c r="D9" s="15">
        <f>Dashboard!H8</f>
        <v>1</v>
      </c>
    </row>
    <row r="10" spans="1:5" ht="15" thickBot="1" x14ac:dyDescent="0.4">
      <c r="B10" s="2">
        <v>7</v>
      </c>
      <c r="D10" s="15">
        <f>Dashboard!I8</f>
        <v>0</v>
      </c>
    </row>
    <row r="11" spans="1:5" ht="15" thickBot="1" x14ac:dyDescent="0.4">
      <c r="B11" s="2">
        <v>8</v>
      </c>
      <c r="D11" s="15">
        <f>Dashboard!J8</f>
        <v>0</v>
      </c>
    </row>
    <row r="12" spans="1:5" ht="15" thickBot="1" x14ac:dyDescent="0.4">
      <c r="B12" s="2">
        <v>9</v>
      </c>
      <c r="D12" s="15">
        <f>Dashboard!K8</f>
        <v>0</v>
      </c>
    </row>
    <row r="13" spans="1:5" ht="15" thickBot="1" x14ac:dyDescent="0.4">
      <c r="B13" s="2">
        <v>10</v>
      </c>
      <c r="D13" s="15">
        <f>Dashboard!L8</f>
        <v>1</v>
      </c>
    </row>
    <row r="14" spans="1:5" ht="15" thickBot="1" x14ac:dyDescent="0.4">
      <c r="B14" s="2">
        <v>11</v>
      </c>
      <c r="D14" s="15">
        <f>Dashboard!M8</f>
        <v>0</v>
      </c>
    </row>
    <row r="15" spans="1:5" ht="14.25" customHeight="1" thickBot="1" x14ac:dyDescent="0.4">
      <c r="B15" s="2">
        <v>12</v>
      </c>
      <c r="D15" s="15">
        <f>Dashboard!N8</f>
        <v>0</v>
      </c>
    </row>
    <row r="16" spans="1:5" ht="15" thickBot="1" x14ac:dyDescent="0.4">
      <c r="B16" s="2">
        <v>13</v>
      </c>
      <c r="D16" s="15">
        <f>Dashboard!O8</f>
        <v>1</v>
      </c>
    </row>
    <row r="17" spans="1:6" ht="15" thickBot="1" x14ac:dyDescent="0.4">
      <c r="B17" s="2">
        <v>14</v>
      </c>
      <c r="D17" s="15">
        <f>Dashboard!P8</f>
        <v>1</v>
      </c>
    </row>
    <row r="18" spans="1:6" x14ac:dyDescent="0.35">
      <c r="B18" s="2">
        <v>15</v>
      </c>
      <c r="D18" s="15">
        <f>Dashboard!Q8</f>
        <v>1</v>
      </c>
    </row>
    <row r="19" spans="1:6" ht="15" thickBot="1" x14ac:dyDescent="0.4">
      <c r="D19" s="27">
        <f>D105+R117</f>
        <v>2</v>
      </c>
      <c r="E19" s="2">
        <f>SUM(D4:D19)</f>
        <v>9</v>
      </c>
      <c r="F19" s="2">
        <f>E19</f>
        <v>9</v>
      </c>
    </row>
    <row r="20" spans="1:6" x14ac:dyDescent="0.35">
      <c r="A20" s="1" t="s">
        <v>3</v>
      </c>
      <c r="B20" s="2">
        <v>16</v>
      </c>
      <c r="D20" s="24">
        <f>Dashboard!R8</f>
        <v>0</v>
      </c>
    </row>
    <row r="21" spans="1:6" x14ac:dyDescent="0.35">
      <c r="B21" s="2">
        <v>17</v>
      </c>
      <c r="D21" s="24">
        <f>Dashboard!S8</f>
        <v>0</v>
      </c>
    </row>
    <row r="22" spans="1:6" x14ac:dyDescent="0.35">
      <c r="B22" s="2">
        <v>18</v>
      </c>
      <c r="D22" s="24">
        <f>Dashboard!T8</f>
        <v>1</v>
      </c>
    </row>
    <row r="23" spans="1:6" x14ac:dyDescent="0.35">
      <c r="B23" s="2">
        <v>19</v>
      </c>
      <c r="D23" s="24">
        <f>Dashboard!U8</f>
        <v>0</v>
      </c>
    </row>
    <row r="24" spans="1:6" x14ac:dyDescent="0.35">
      <c r="B24" s="2">
        <v>20</v>
      </c>
      <c r="D24" s="24">
        <f>Dashboard!V8</f>
        <v>0</v>
      </c>
    </row>
    <row r="25" spans="1:6" x14ac:dyDescent="0.35">
      <c r="B25" s="2">
        <v>21</v>
      </c>
      <c r="D25" s="24">
        <f>Dashboard!W8</f>
        <v>0</v>
      </c>
    </row>
    <row r="26" spans="1:6" x14ac:dyDescent="0.35">
      <c r="B26" s="2">
        <v>22</v>
      </c>
      <c r="D26" s="24">
        <f>Dashboard!X8</f>
        <v>0</v>
      </c>
    </row>
    <row r="27" spans="1:6" x14ac:dyDescent="0.35">
      <c r="B27" s="2">
        <v>23</v>
      </c>
      <c r="D27" s="24">
        <f>Dashboard!Y8</f>
        <v>0</v>
      </c>
    </row>
    <row r="28" spans="1:6" x14ac:dyDescent="0.35">
      <c r="B28" s="2">
        <v>24</v>
      </c>
      <c r="D28" s="24">
        <f>Dashboard!Z8</f>
        <v>1</v>
      </c>
    </row>
    <row r="29" spans="1:6" x14ac:dyDescent="0.35">
      <c r="B29" s="2">
        <v>25</v>
      </c>
      <c r="D29" s="24">
        <f>Dashboard!AA8</f>
        <v>0</v>
      </c>
    </row>
    <row r="30" spans="1:6" x14ac:dyDescent="0.35">
      <c r="B30" s="2">
        <v>26</v>
      </c>
      <c r="D30" s="24">
        <f>Dashboard!AB8</f>
        <v>0</v>
      </c>
    </row>
    <row r="31" spans="1:6" x14ac:dyDescent="0.35">
      <c r="B31" s="2">
        <v>27</v>
      </c>
      <c r="D31" s="24">
        <f>Dashboard!AC8</f>
        <v>0</v>
      </c>
    </row>
    <row r="32" spans="1:6" x14ac:dyDescent="0.35">
      <c r="B32" s="2">
        <v>28</v>
      </c>
      <c r="D32" s="24">
        <f>Dashboard!AD8</f>
        <v>0</v>
      </c>
    </row>
    <row r="33" spans="1:6" x14ac:dyDescent="0.35">
      <c r="B33" s="2">
        <v>29</v>
      </c>
      <c r="D33" s="24">
        <f>Dashboard!AE8</f>
        <v>0</v>
      </c>
    </row>
    <row r="34" spans="1:6" x14ac:dyDescent="0.35">
      <c r="B34" s="2">
        <v>30</v>
      </c>
      <c r="D34" s="24">
        <f>Dashboard!AF8</f>
        <v>0</v>
      </c>
    </row>
    <row r="35" spans="1:6" ht="15" thickBot="1" x14ac:dyDescent="0.4">
      <c r="D35" s="27">
        <f>D106+R118</f>
        <v>1</v>
      </c>
      <c r="E35" s="2">
        <f>SUM(D20:D35)</f>
        <v>3</v>
      </c>
      <c r="F35" s="2">
        <f>E35</f>
        <v>3</v>
      </c>
    </row>
    <row r="36" spans="1:6" ht="15" thickBot="1" x14ac:dyDescent="0.4">
      <c r="A36" s="1" t="s">
        <v>4</v>
      </c>
      <c r="B36" s="2">
        <v>31</v>
      </c>
      <c r="D36" s="15">
        <f>Dashboard!AG8</f>
        <v>0</v>
      </c>
    </row>
    <row r="37" spans="1:6" ht="15" thickBot="1" x14ac:dyDescent="0.4">
      <c r="B37" s="2">
        <v>32</v>
      </c>
      <c r="D37" s="15">
        <f>Dashboard!AH8</f>
        <v>0</v>
      </c>
    </row>
    <row r="38" spans="1:6" ht="15" thickBot="1" x14ac:dyDescent="0.4">
      <c r="B38" s="2">
        <v>33</v>
      </c>
      <c r="D38" s="15">
        <f>Dashboard!AI8</f>
        <v>0</v>
      </c>
    </row>
    <row r="39" spans="1:6" ht="15" thickBot="1" x14ac:dyDescent="0.4">
      <c r="B39" s="2">
        <v>34</v>
      </c>
      <c r="D39" s="15">
        <f>Dashboard!AJ8</f>
        <v>0</v>
      </c>
    </row>
    <row r="40" spans="1:6" ht="15" thickBot="1" x14ac:dyDescent="0.4">
      <c r="B40" s="2">
        <v>35</v>
      </c>
      <c r="D40" s="15">
        <f>Dashboard!AK8</f>
        <v>1</v>
      </c>
    </row>
    <row r="41" spans="1:6" ht="15" thickBot="1" x14ac:dyDescent="0.4">
      <c r="B41" s="2">
        <v>36</v>
      </c>
      <c r="D41" s="15">
        <f>Dashboard!AL8</f>
        <v>0</v>
      </c>
    </row>
    <row r="42" spans="1:6" ht="15" thickBot="1" x14ac:dyDescent="0.4">
      <c r="B42" s="2">
        <v>37</v>
      </c>
      <c r="D42" s="15">
        <f>Dashboard!AM8</f>
        <v>0</v>
      </c>
    </row>
    <row r="43" spans="1:6" ht="15" thickBot="1" x14ac:dyDescent="0.4">
      <c r="B43" s="2">
        <v>38</v>
      </c>
      <c r="D43" s="15">
        <f>Dashboard!AN8</f>
        <v>0</v>
      </c>
    </row>
    <row r="44" spans="1:6" ht="15" thickBot="1" x14ac:dyDescent="0.4">
      <c r="B44" s="2">
        <v>39</v>
      </c>
      <c r="D44" s="15">
        <f>Dashboard!AO8</f>
        <v>1</v>
      </c>
    </row>
    <row r="45" spans="1:6" ht="15" thickBot="1" x14ac:dyDescent="0.4">
      <c r="B45" s="2">
        <v>40</v>
      </c>
      <c r="D45" s="15">
        <f>Dashboard!AP8</f>
        <v>0</v>
      </c>
    </row>
    <row r="46" spans="1:6" ht="15" thickBot="1" x14ac:dyDescent="0.4">
      <c r="B46" s="2">
        <v>41</v>
      </c>
      <c r="D46" s="15">
        <f>Dashboard!AQ8</f>
        <v>0</v>
      </c>
    </row>
    <row r="47" spans="1:6" ht="15" thickBot="1" x14ac:dyDescent="0.4">
      <c r="B47" s="2">
        <v>42</v>
      </c>
      <c r="D47" s="15">
        <f>Dashboard!AR8</f>
        <v>1</v>
      </c>
    </row>
    <row r="48" spans="1:6" ht="15" thickBot="1" x14ac:dyDescent="0.4">
      <c r="B48" s="2">
        <v>43</v>
      </c>
      <c r="D48" s="15">
        <f>Dashboard!AS8</f>
        <v>1</v>
      </c>
    </row>
    <row r="49" spans="1:6" ht="15" thickBot="1" x14ac:dyDescent="0.4">
      <c r="B49" s="2">
        <v>44</v>
      </c>
      <c r="D49" s="15">
        <f>Dashboard!AT8</f>
        <v>0</v>
      </c>
    </row>
    <row r="50" spans="1:6" x14ac:dyDescent="0.35">
      <c r="B50" s="2">
        <v>45</v>
      </c>
      <c r="D50" s="15">
        <f>Dashboard!AU8</f>
        <v>0</v>
      </c>
    </row>
    <row r="51" spans="1:6" ht="15" thickBot="1" x14ac:dyDescent="0.4">
      <c r="D51" s="27">
        <f>D109+R119</f>
        <v>2</v>
      </c>
      <c r="E51" s="2">
        <f>SUM(D36:D51)</f>
        <v>6</v>
      </c>
      <c r="F51" s="2">
        <f>E51</f>
        <v>6</v>
      </c>
    </row>
    <row r="52" spans="1:6" x14ac:dyDescent="0.35">
      <c r="A52" s="1" t="s">
        <v>5</v>
      </c>
      <c r="B52" s="2">
        <v>46</v>
      </c>
      <c r="D52" s="24">
        <f>Dashboard!AV8</f>
        <v>1</v>
      </c>
    </row>
    <row r="53" spans="1:6" x14ac:dyDescent="0.35">
      <c r="B53" s="2">
        <v>47</v>
      </c>
      <c r="D53" s="24">
        <f>Dashboard!AW8</f>
        <v>0</v>
      </c>
    </row>
    <row r="54" spans="1:6" x14ac:dyDescent="0.35">
      <c r="B54" s="2">
        <v>48</v>
      </c>
      <c r="D54" s="24">
        <f>Dashboard!AX8</f>
        <v>0</v>
      </c>
    </row>
    <row r="55" spans="1:6" x14ac:dyDescent="0.35">
      <c r="B55" s="2">
        <v>49</v>
      </c>
      <c r="D55" s="24">
        <f>Dashboard!AY8</f>
        <v>1</v>
      </c>
    </row>
    <row r="56" spans="1:6" x14ac:dyDescent="0.35">
      <c r="B56" s="2">
        <v>50</v>
      </c>
      <c r="D56" s="24">
        <f>Dashboard!AZ8</f>
        <v>1</v>
      </c>
    </row>
    <row r="57" spans="1:6" x14ac:dyDescent="0.35">
      <c r="B57" s="2">
        <v>51</v>
      </c>
      <c r="D57" s="24">
        <f>Dashboard!BA8</f>
        <v>0</v>
      </c>
    </row>
    <row r="58" spans="1:6" x14ac:dyDescent="0.35">
      <c r="B58" s="2">
        <v>52</v>
      </c>
      <c r="D58" s="24">
        <f>Dashboard!BB8</f>
        <v>0</v>
      </c>
    </row>
    <row r="59" spans="1:6" x14ac:dyDescent="0.35">
      <c r="B59" s="2">
        <v>53</v>
      </c>
      <c r="D59" s="24">
        <f>Dashboard!BC8</f>
        <v>0</v>
      </c>
    </row>
    <row r="60" spans="1:6" x14ac:dyDescent="0.35">
      <c r="B60" s="2">
        <v>54</v>
      </c>
      <c r="D60" s="24">
        <f>Dashboard!BD8</f>
        <v>0</v>
      </c>
    </row>
    <row r="61" spans="1:6" x14ac:dyDescent="0.35">
      <c r="B61" s="2">
        <v>55</v>
      </c>
      <c r="D61" s="24">
        <f>Dashboard!BE8</f>
        <v>1</v>
      </c>
    </row>
    <row r="62" spans="1:6" x14ac:dyDescent="0.35">
      <c r="B62" s="2">
        <v>56</v>
      </c>
      <c r="D62" s="24">
        <f>Dashboard!BF8</f>
        <v>0</v>
      </c>
    </row>
    <row r="63" spans="1:6" x14ac:dyDescent="0.35">
      <c r="B63" s="2">
        <v>57</v>
      </c>
      <c r="D63" s="24">
        <f>Dashboard!BG8</f>
        <v>0</v>
      </c>
    </row>
    <row r="64" spans="1:6" x14ac:dyDescent="0.35">
      <c r="B64" s="2">
        <v>58</v>
      </c>
      <c r="D64" s="24">
        <f>Dashboard!BH8</f>
        <v>0</v>
      </c>
    </row>
    <row r="65" spans="1:6" x14ac:dyDescent="0.35">
      <c r="B65" s="2">
        <v>59</v>
      </c>
      <c r="D65" s="24">
        <f>Dashboard!BI8</f>
        <v>1</v>
      </c>
    </row>
    <row r="66" spans="1:6" x14ac:dyDescent="0.35">
      <c r="B66" s="2">
        <v>60</v>
      </c>
      <c r="D66" s="24">
        <f>Dashboard!BJ8</f>
        <v>1</v>
      </c>
    </row>
    <row r="67" spans="1:6" ht="15" thickBot="1" x14ac:dyDescent="0.4">
      <c r="D67" s="27">
        <f>D107+R120</f>
        <v>0</v>
      </c>
      <c r="E67" s="2">
        <f>SUM(D52:D67)</f>
        <v>6</v>
      </c>
      <c r="F67" s="2">
        <f>E67</f>
        <v>6</v>
      </c>
    </row>
    <row r="68" spans="1:6" ht="15" thickBot="1" x14ac:dyDescent="0.4">
      <c r="A68" s="1" t="s">
        <v>6</v>
      </c>
      <c r="B68" s="2">
        <v>61</v>
      </c>
      <c r="D68" s="15">
        <f>Dashboard!BK8</f>
        <v>1</v>
      </c>
    </row>
    <row r="69" spans="1:6" ht="15" thickBot="1" x14ac:dyDescent="0.4">
      <c r="B69" s="2">
        <v>62</v>
      </c>
      <c r="D69" s="15">
        <f>Dashboard!BL8</f>
        <v>0</v>
      </c>
    </row>
    <row r="70" spans="1:6" ht="15" thickBot="1" x14ac:dyDescent="0.4">
      <c r="B70" s="2">
        <v>63</v>
      </c>
      <c r="D70" s="15">
        <f>Dashboard!BM8</f>
        <v>1</v>
      </c>
    </row>
    <row r="71" spans="1:6" ht="15" thickBot="1" x14ac:dyDescent="0.4">
      <c r="B71" s="2">
        <v>64</v>
      </c>
      <c r="D71" s="15">
        <f>Dashboard!BN8</f>
        <v>1</v>
      </c>
    </row>
    <row r="72" spans="1:6" ht="15" thickBot="1" x14ac:dyDescent="0.4">
      <c r="B72" s="2">
        <v>65</v>
      </c>
      <c r="D72" s="15">
        <f>Dashboard!BO8</f>
        <v>0</v>
      </c>
    </row>
    <row r="73" spans="1:6" ht="15" thickBot="1" x14ac:dyDescent="0.4">
      <c r="B73" s="2">
        <v>66</v>
      </c>
      <c r="D73" s="15">
        <f>Dashboard!BP8</f>
        <v>1</v>
      </c>
    </row>
    <row r="74" spans="1:6" ht="15" thickBot="1" x14ac:dyDescent="0.4">
      <c r="B74" s="2">
        <v>67</v>
      </c>
      <c r="D74" s="15">
        <f>Dashboard!BQ8</f>
        <v>0</v>
      </c>
    </row>
    <row r="75" spans="1:6" ht="15" thickBot="1" x14ac:dyDescent="0.4">
      <c r="B75" s="2">
        <v>68</v>
      </c>
      <c r="D75" s="15">
        <f>Dashboard!BR8</f>
        <v>0</v>
      </c>
    </row>
    <row r="76" spans="1:6" ht="15" thickBot="1" x14ac:dyDescent="0.4">
      <c r="B76" s="2">
        <v>69</v>
      </c>
      <c r="D76" s="15">
        <f>Dashboard!BS8</f>
        <v>1</v>
      </c>
    </row>
    <row r="77" spans="1:6" ht="15" thickBot="1" x14ac:dyDescent="0.4">
      <c r="B77" s="2">
        <v>70</v>
      </c>
      <c r="D77" s="15">
        <f>Dashboard!BT8</f>
        <v>1</v>
      </c>
    </row>
    <row r="78" spans="1:6" ht="15" thickBot="1" x14ac:dyDescent="0.4">
      <c r="B78" s="2">
        <v>71</v>
      </c>
      <c r="D78" s="15">
        <f>Dashboard!BU8</f>
        <v>0</v>
      </c>
    </row>
    <row r="79" spans="1:6" ht="15" thickBot="1" x14ac:dyDescent="0.4">
      <c r="B79" s="2">
        <v>72</v>
      </c>
      <c r="D79" s="15">
        <f>Dashboard!BV8</f>
        <v>0</v>
      </c>
    </row>
    <row r="80" spans="1:6" ht="15" thickBot="1" x14ac:dyDescent="0.4">
      <c r="B80" s="2">
        <v>73</v>
      </c>
      <c r="D80" s="15">
        <f>Dashboard!BW8</f>
        <v>1</v>
      </c>
    </row>
    <row r="81" spans="1:6" ht="15" thickBot="1" x14ac:dyDescent="0.4">
      <c r="B81" s="2">
        <v>74</v>
      </c>
      <c r="D81" s="15">
        <f>Dashboard!BX8</f>
        <v>0</v>
      </c>
    </row>
    <row r="82" spans="1:6" x14ac:dyDescent="0.35">
      <c r="B82" s="2">
        <v>75</v>
      </c>
      <c r="D82" s="15">
        <f>Dashboard!BY8</f>
        <v>0</v>
      </c>
    </row>
    <row r="83" spans="1:6" ht="15" thickBot="1" x14ac:dyDescent="0.4">
      <c r="D83" s="27">
        <f>D108+R121</f>
        <v>1</v>
      </c>
      <c r="E83" s="2">
        <f>SUM(D68:D83)</f>
        <v>8</v>
      </c>
      <c r="F83" s="2">
        <f>E83</f>
        <v>8</v>
      </c>
    </row>
    <row r="84" spans="1:6" x14ac:dyDescent="0.35">
      <c r="A84" s="1" t="s">
        <v>7</v>
      </c>
      <c r="B84" s="2">
        <v>76</v>
      </c>
      <c r="D84" s="24">
        <f>Dashboard!BZ8</f>
        <v>0</v>
      </c>
    </row>
    <row r="85" spans="1:6" x14ac:dyDescent="0.35">
      <c r="B85" s="2">
        <v>77</v>
      </c>
      <c r="D85" s="24">
        <f>Dashboard!CA8</f>
        <v>1</v>
      </c>
    </row>
    <row r="86" spans="1:6" x14ac:dyDescent="0.35">
      <c r="B86" s="2">
        <v>78</v>
      </c>
      <c r="D86" s="24">
        <f>Dashboard!CB8</f>
        <v>1</v>
      </c>
    </row>
    <row r="87" spans="1:6" x14ac:dyDescent="0.35">
      <c r="B87" s="2">
        <v>79</v>
      </c>
      <c r="D87" s="24">
        <f>Dashboard!CC8</f>
        <v>1</v>
      </c>
    </row>
    <row r="88" spans="1:6" x14ac:dyDescent="0.35">
      <c r="B88" s="2">
        <v>80</v>
      </c>
      <c r="D88" s="24">
        <f>Dashboard!CD8</f>
        <v>1</v>
      </c>
    </row>
    <row r="89" spans="1:6" x14ac:dyDescent="0.35">
      <c r="B89" s="2">
        <v>81</v>
      </c>
      <c r="D89" s="24">
        <f>Dashboard!CE8</f>
        <v>1</v>
      </c>
    </row>
    <row r="90" spans="1:6" x14ac:dyDescent="0.35">
      <c r="B90" s="2">
        <v>82</v>
      </c>
      <c r="D90" s="24">
        <f>Dashboard!CF8</f>
        <v>1</v>
      </c>
    </row>
    <row r="91" spans="1:6" x14ac:dyDescent="0.35">
      <c r="B91" s="2">
        <v>83</v>
      </c>
      <c r="D91" s="24">
        <f>Dashboard!CG8</f>
        <v>1</v>
      </c>
    </row>
    <row r="92" spans="1:6" x14ac:dyDescent="0.35">
      <c r="B92" s="2">
        <v>84</v>
      </c>
      <c r="D92" s="24">
        <f>Dashboard!CH8</f>
        <v>1</v>
      </c>
    </row>
    <row r="93" spans="1:6" x14ac:dyDescent="0.35">
      <c r="B93" s="2">
        <v>85</v>
      </c>
      <c r="D93" s="24">
        <f>Dashboard!CI8</f>
        <v>0</v>
      </c>
    </row>
    <row r="94" spans="1:6" x14ac:dyDescent="0.35">
      <c r="B94" s="2">
        <v>86</v>
      </c>
      <c r="D94" s="24">
        <f>Dashboard!CJ8</f>
        <v>0</v>
      </c>
    </row>
    <row r="95" spans="1:6" x14ac:dyDescent="0.35">
      <c r="B95" s="2">
        <v>87</v>
      </c>
      <c r="D95" s="24">
        <f>Dashboard!CK8</f>
        <v>0</v>
      </c>
    </row>
    <row r="96" spans="1:6" x14ac:dyDescent="0.35">
      <c r="B96" s="2">
        <v>88</v>
      </c>
      <c r="D96" s="24">
        <f>Dashboard!CL8</f>
        <v>0</v>
      </c>
    </row>
    <row r="97" spans="1:6" x14ac:dyDescent="0.35">
      <c r="B97" s="2">
        <v>89</v>
      </c>
      <c r="D97" s="24">
        <f>Dashboard!CM8</f>
        <v>0</v>
      </c>
    </row>
    <row r="98" spans="1:6" x14ac:dyDescent="0.35">
      <c r="B98" s="2">
        <v>90</v>
      </c>
      <c r="D98" s="24">
        <f>Dashboard!CN8</f>
        <v>1</v>
      </c>
    </row>
    <row r="99" spans="1:6" ht="15" thickBot="1" x14ac:dyDescent="0.4">
      <c r="D99" s="27">
        <f>D110+R122</f>
        <v>1</v>
      </c>
      <c r="E99" s="2">
        <f>SUM(D84:D99)</f>
        <v>10</v>
      </c>
      <c r="F99" s="2">
        <f>E99</f>
        <v>10</v>
      </c>
    </row>
    <row r="104" spans="1:6" x14ac:dyDescent="0.35">
      <c r="A104" s="2" t="s">
        <v>45</v>
      </c>
    </row>
    <row r="105" spans="1:6" x14ac:dyDescent="0.35">
      <c r="A105" s="2" t="s">
        <v>2</v>
      </c>
      <c r="B105" s="2">
        <v>1</v>
      </c>
      <c r="D105" s="25">
        <f>Dashboard!CO8</f>
        <v>2</v>
      </c>
    </row>
    <row r="106" spans="1:6" x14ac:dyDescent="0.35">
      <c r="A106" s="2" t="s">
        <v>3</v>
      </c>
      <c r="B106" s="2">
        <v>2</v>
      </c>
      <c r="D106" s="25">
        <f>Dashboard!CP8</f>
        <v>1</v>
      </c>
    </row>
    <row r="107" spans="1:6" x14ac:dyDescent="0.35">
      <c r="A107" s="2" t="s">
        <v>5</v>
      </c>
      <c r="B107" s="2">
        <v>3</v>
      </c>
      <c r="D107" s="25">
        <f>Dashboard!CQ8</f>
        <v>0</v>
      </c>
    </row>
    <row r="108" spans="1:6" x14ac:dyDescent="0.35">
      <c r="A108" s="2" t="s">
        <v>67</v>
      </c>
      <c r="B108" s="2">
        <v>4</v>
      </c>
      <c r="D108" s="25">
        <f>Dashboard!CR8</f>
        <v>1</v>
      </c>
    </row>
    <row r="109" spans="1:6" x14ac:dyDescent="0.35">
      <c r="A109" s="2" t="s">
        <v>4</v>
      </c>
      <c r="B109" s="2">
        <v>5</v>
      </c>
      <c r="D109" s="25">
        <f>Dashboard!CS8</f>
        <v>2</v>
      </c>
    </row>
    <row r="110" spans="1:6" x14ac:dyDescent="0.35">
      <c r="A110" s="2" t="s">
        <v>7</v>
      </c>
      <c r="B110" s="2">
        <v>6</v>
      </c>
      <c r="D110" s="25">
        <f>Dashboard!CT8</f>
        <v>1</v>
      </c>
    </row>
    <row r="114" spans="1:21" x14ac:dyDescent="0.35">
      <c r="A114" s="9" t="s">
        <v>70</v>
      </c>
    </row>
    <row r="115" spans="1:21" ht="15" thickBot="1" x14ac:dyDescent="0.4"/>
    <row r="116" spans="1:21" x14ac:dyDescent="0.35">
      <c r="A116" s="34" t="s">
        <v>71</v>
      </c>
      <c r="B116" s="35"/>
      <c r="C116" s="36"/>
      <c r="E116" s="34" t="s">
        <v>78</v>
      </c>
      <c r="F116" s="35"/>
      <c r="G116" s="36"/>
      <c r="I116" s="34" t="s">
        <v>79</v>
      </c>
      <c r="J116" s="35"/>
      <c r="K116" s="36"/>
      <c r="M116" s="34" t="s">
        <v>80</v>
      </c>
      <c r="N116" s="35"/>
      <c r="O116" s="36"/>
      <c r="Q116" s="34" t="s">
        <v>81</v>
      </c>
      <c r="R116" s="36"/>
      <c r="U116" s="9"/>
    </row>
    <row r="117" spans="1:21" x14ac:dyDescent="0.35">
      <c r="A117" s="37" t="s">
        <v>82</v>
      </c>
      <c r="B117" s="2" t="s">
        <v>72</v>
      </c>
      <c r="C117" s="25"/>
      <c r="E117" s="37" t="s">
        <v>82</v>
      </c>
      <c r="F117" s="2" t="s">
        <v>72</v>
      </c>
      <c r="G117" s="25"/>
      <c r="I117" s="37"/>
      <c r="J117" s="2" t="s">
        <v>72</v>
      </c>
      <c r="K117" s="32">
        <v>0</v>
      </c>
      <c r="M117" s="37" t="s">
        <v>82</v>
      </c>
      <c r="N117" s="2" t="s">
        <v>72</v>
      </c>
      <c r="O117" s="33"/>
      <c r="Q117" s="37" t="s">
        <v>72</v>
      </c>
      <c r="R117" s="33">
        <f>O117+K117+G117+C117</f>
        <v>0</v>
      </c>
      <c r="S117" s="2" t="s">
        <v>2</v>
      </c>
    </row>
    <row r="118" spans="1:21" x14ac:dyDescent="0.35">
      <c r="A118" s="37"/>
      <c r="B118" s="2" t="s">
        <v>73</v>
      </c>
      <c r="C118" s="25"/>
      <c r="E118" s="37"/>
      <c r="F118" s="2" t="s">
        <v>73</v>
      </c>
      <c r="G118" s="25"/>
      <c r="I118" s="37"/>
      <c r="J118" s="2" t="s">
        <v>73</v>
      </c>
      <c r="K118" s="32">
        <v>0</v>
      </c>
      <c r="M118" s="37"/>
      <c r="N118" s="2" t="s">
        <v>73</v>
      </c>
      <c r="O118" s="33"/>
      <c r="Q118" s="37" t="s">
        <v>73</v>
      </c>
      <c r="R118" s="33">
        <f t="shared" ref="R118:R122" si="0">O118+K118+G118+C118</f>
        <v>0</v>
      </c>
      <c r="S118" s="2" t="s">
        <v>3</v>
      </c>
    </row>
    <row r="119" spans="1:21" x14ac:dyDescent="0.35">
      <c r="A119" s="37"/>
      <c r="B119" s="2" t="s">
        <v>74</v>
      </c>
      <c r="C119" s="25"/>
      <c r="E119" s="37"/>
      <c r="F119" s="2" t="s">
        <v>74</v>
      </c>
      <c r="G119" s="25"/>
      <c r="I119" s="37"/>
      <c r="J119" s="2" t="s">
        <v>74</v>
      </c>
      <c r="K119" s="32">
        <v>0</v>
      </c>
      <c r="M119" s="37"/>
      <c r="N119" s="2" t="s">
        <v>74</v>
      </c>
      <c r="O119" s="33"/>
      <c r="Q119" s="37" t="s">
        <v>74</v>
      </c>
      <c r="R119" s="33">
        <f t="shared" si="0"/>
        <v>0</v>
      </c>
      <c r="S119" s="2" t="s">
        <v>4</v>
      </c>
    </row>
    <row r="120" spans="1:21" x14ac:dyDescent="0.35">
      <c r="A120" s="37"/>
      <c r="B120" s="2" t="s">
        <v>75</v>
      </c>
      <c r="C120" s="25"/>
      <c r="E120" s="37"/>
      <c r="F120" s="2" t="s">
        <v>75</v>
      </c>
      <c r="G120" s="25"/>
      <c r="I120" s="37"/>
      <c r="J120" s="2" t="s">
        <v>75</v>
      </c>
      <c r="K120" s="32">
        <v>0</v>
      </c>
      <c r="M120" s="37"/>
      <c r="N120" s="2" t="s">
        <v>75</v>
      </c>
      <c r="O120" s="33"/>
      <c r="Q120" s="37" t="s">
        <v>75</v>
      </c>
      <c r="R120" s="33">
        <f t="shared" si="0"/>
        <v>0</v>
      </c>
      <c r="S120" s="2" t="s">
        <v>5</v>
      </c>
    </row>
    <row r="121" spans="1:21" x14ac:dyDescent="0.35">
      <c r="A121" s="37"/>
      <c r="B121" s="2" t="s">
        <v>76</v>
      </c>
      <c r="C121" s="25"/>
      <c r="E121" s="37"/>
      <c r="F121" s="2" t="s">
        <v>76</v>
      </c>
      <c r="G121" s="25"/>
      <c r="I121" s="37"/>
      <c r="J121" s="2" t="s">
        <v>76</v>
      </c>
      <c r="K121" s="32">
        <v>0</v>
      </c>
      <c r="M121" s="37"/>
      <c r="N121" s="2" t="s">
        <v>76</v>
      </c>
      <c r="O121" s="33"/>
      <c r="Q121" s="37" t="s">
        <v>76</v>
      </c>
      <c r="R121" s="33">
        <f t="shared" si="0"/>
        <v>0</v>
      </c>
      <c r="S121" s="2" t="s">
        <v>6</v>
      </c>
    </row>
    <row r="122" spans="1:21" ht="15" thickBot="1" x14ac:dyDescent="0.4">
      <c r="A122" s="38"/>
      <c r="B122" s="39" t="s">
        <v>77</v>
      </c>
      <c r="C122" s="26"/>
      <c r="E122" s="38"/>
      <c r="F122" s="39" t="s">
        <v>77</v>
      </c>
      <c r="G122" s="26"/>
      <c r="I122" s="38"/>
      <c r="J122" s="39" t="s">
        <v>77</v>
      </c>
      <c r="K122" s="27">
        <v>0</v>
      </c>
      <c r="M122" s="38"/>
      <c r="N122" s="39" t="s">
        <v>77</v>
      </c>
      <c r="O122" s="40"/>
      <c r="Q122" s="38" t="s">
        <v>77</v>
      </c>
      <c r="R122" s="40">
        <f t="shared" si="0"/>
        <v>0</v>
      </c>
      <c r="S122" s="2" t="s">
        <v>7</v>
      </c>
    </row>
    <row r="130" spans="2:6" x14ac:dyDescent="0.35">
      <c r="B130" s="45">
        <f>E19</f>
        <v>9</v>
      </c>
      <c r="C130" s="45" t="s">
        <v>2</v>
      </c>
      <c r="E130" s="48">
        <f>MAX(B130:B135)</f>
        <v>10</v>
      </c>
      <c r="F130" s="48" t="str">
        <f>VLOOKUP(E130,B130:C135,2,FALSE)</f>
        <v>C</v>
      </c>
    </row>
    <row r="131" spans="2:6" x14ac:dyDescent="0.35">
      <c r="B131" s="45">
        <f>E67</f>
        <v>6</v>
      </c>
      <c r="C131" s="45" t="s">
        <v>5</v>
      </c>
    </row>
    <row r="132" spans="2:6" x14ac:dyDescent="0.35">
      <c r="B132" s="45">
        <f>E35</f>
        <v>3</v>
      </c>
      <c r="C132" s="45" t="s">
        <v>3</v>
      </c>
    </row>
    <row r="133" spans="2:6" x14ac:dyDescent="0.35">
      <c r="B133" s="45">
        <f>E83</f>
        <v>8</v>
      </c>
      <c r="C133" s="45" t="s">
        <v>6</v>
      </c>
    </row>
    <row r="134" spans="2:6" x14ac:dyDescent="0.35">
      <c r="B134" s="45">
        <f>E51</f>
        <v>6</v>
      </c>
      <c r="C134" s="45" t="s">
        <v>4</v>
      </c>
    </row>
    <row r="135" spans="2:6" x14ac:dyDescent="0.35">
      <c r="B135" s="45">
        <f>E99</f>
        <v>10</v>
      </c>
      <c r="C135" s="45" t="s">
        <v>7</v>
      </c>
    </row>
  </sheetData>
  <dataValidations count="3">
    <dataValidation type="whole" allowBlank="1" showInputMessage="1" showErrorMessage="1" sqref="O117:O122 D68:D82 D4:D18 D20:D34 D36:D50 D52:D66 C117:C122 G117:G122 K117:K122 D84:D98" xr:uid="{00000000-0002-0000-0000-000000000000}">
      <formula1>0</formula1>
      <formula2>1</formula2>
    </dataValidation>
    <dataValidation type="whole" allowBlank="1" showInputMessage="1" showErrorMessage="1" sqref="D99 D51 D19 D35 D67 D83" xr:uid="{00000000-0002-0000-0000-000001000000}">
      <formula1>0</formula1>
      <formula2>11</formula2>
    </dataValidation>
    <dataValidation type="whole" allowBlank="1" showInputMessage="1" showErrorMessage="1" sqref="R117:R122" xr:uid="{00000000-0002-0000-0000-000002000000}">
      <formula1>0</formula1>
      <formula2>4</formula2>
    </dataValidation>
  </dataValidations>
  <pageMargins left="0.7" right="0.7" top="0.75" bottom="0.75" header="0.3" footer="0.3"/>
  <pageSetup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11"/>
  <sheetViews>
    <sheetView topLeftCell="A28" zoomScale="85" zoomScaleNormal="85" workbookViewId="0">
      <selection activeCell="C9" sqref="C9"/>
    </sheetView>
  </sheetViews>
  <sheetFormatPr defaultColWidth="9.1796875" defaultRowHeight="14.5" x14ac:dyDescent="0.35"/>
  <cols>
    <col min="1" max="2" width="9.1796875" style="2"/>
    <col min="3" max="3" width="14" style="2" customWidth="1"/>
    <col min="4" max="4" width="14.453125" style="2" customWidth="1"/>
    <col min="5" max="5" width="9.1796875" style="2"/>
    <col min="6" max="6" width="11" style="2" customWidth="1"/>
    <col min="7" max="16384" width="9.1796875" style="2"/>
  </cols>
  <sheetData>
    <row r="1" spans="1:9" x14ac:dyDescent="0.35">
      <c r="A1" s="2" t="s">
        <v>114</v>
      </c>
      <c r="H1" s="2" t="s">
        <v>68</v>
      </c>
    </row>
    <row r="2" spans="1:9" x14ac:dyDescent="0.35">
      <c r="C2" s="45" t="s">
        <v>13</v>
      </c>
      <c r="D2" s="45" t="s">
        <v>14</v>
      </c>
    </row>
    <row r="3" spans="1:9" x14ac:dyDescent="0.35">
      <c r="B3" s="28"/>
      <c r="C3" s="54" t="s">
        <v>4</v>
      </c>
      <c r="D3" s="54" t="s">
        <v>5</v>
      </c>
      <c r="G3" s="45">
        <f>C20</f>
        <v>10</v>
      </c>
      <c r="H3" s="45" t="s">
        <v>4</v>
      </c>
      <c r="I3" s="45">
        <f>C20</f>
        <v>10</v>
      </c>
    </row>
    <row r="4" spans="1:9" x14ac:dyDescent="0.35">
      <c r="B4" s="16">
        <v>1</v>
      </c>
      <c r="C4" s="51">
        <f>IF(Dashboard!CU8=1,1,0)</f>
        <v>1</v>
      </c>
      <c r="D4" s="51">
        <f>IF(Dashboard!CU8=0,1,0)</f>
        <v>0</v>
      </c>
      <c r="G4" s="45">
        <f>D20</f>
        <v>21</v>
      </c>
      <c r="H4" s="45" t="s">
        <v>5</v>
      </c>
      <c r="I4" s="45">
        <f>D20</f>
        <v>21</v>
      </c>
    </row>
    <row r="5" spans="1:9" x14ac:dyDescent="0.35">
      <c r="B5" s="16">
        <v>2</v>
      </c>
      <c r="C5" s="51">
        <f>IF(Dashboard!CV8=1,1,0)</f>
        <v>0</v>
      </c>
      <c r="D5" s="51">
        <f>IF(Dashboard!CV8=0,1,0)</f>
        <v>1</v>
      </c>
      <c r="G5" s="45"/>
      <c r="H5" s="45"/>
      <c r="I5" s="45"/>
    </row>
    <row r="6" spans="1:9" x14ac:dyDescent="0.35">
      <c r="B6" s="16">
        <v>3</v>
      </c>
      <c r="C6" s="51">
        <f>IF(Dashboard!CW8=1,1,0)</f>
        <v>0</v>
      </c>
      <c r="D6" s="51">
        <f>IF(Dashboard!CW8=0,1,0)</f>
        <v>1</v>
      </c>
      <c r="G6" s="45"/>
      <c r="H6" s="45"/>
      <c r="I6" s="45"/>
    </row>
    <row r="7" spans="1:9" x14ac:dyDescent="0.35">
      <c r="B7" s="16">
        <v>4</v>
      </c>
      <c r="C7" s="51">
        <f>IF(Dashboard!CX8=1,1,0)</f>
        <v>1</v>
      </c>
      <c r="D7" s="51">
        <f>IF(Dashboard!CX8=0,1,0)</f>
        <v>0</v>
      </c>
      <c r="G7" s="45">
        <f>C40</f>
        <v>25</v>
      </c>
      <c r="H7" s="45" t="s">
        <v>6</v>
      </c>
      <c r="I7" s="45">
        <f>C40</f>
        <v>25</v>
      </c>
    </row>
    <row r="8" spans="1:9" x14ac:dyDescent="0.35">
      <c r="B8" s="16">
        <v>5</v>
      </c>
      <c r="C8" s="51">
        <f>IF(Dashboard!CY8=1,1,0)</f>
        <v>1</v>
      </c>
      <c r="D8" s="51">
        <f>IF(Dashboard!CY8=0,1,0)</f>
        <v>0</v>
      </c>
      <c r="G8" s="45">
        <f>D40</f>
        <v>8</v>
      </c>
      <c r="H8" s="45" t="s">
        <v>36</v>
      </c>
      <c r="I8" s="45">
        <f>D40</f>
        <v>8</v>
      </c>
    </row>
    <row r="9" spans="1:9" x14ac:dyDescent="0.35">
      <c r="B9" s="16">
        <v>6</v>
      </c>
      <c r="C9" s="51">
        <f>IF(Dashboard!CZ8=1,1,0)</f>
        <v>1</v>
      </c>
      <c r="D9" s="51">
        <f>IF(Dashboard!CZ8=0,1,0)</f>
        <v>0</v>
      </c>
      <c r="G9" s="45"/>
      <c r="H9" s="45"/>
      <c r="I9" s="45"/>
    </row>
    <row r="10" spans="1:9" x14ac:dyDescent="0.35">
      <c r="B10" s="16">
        <v>7</v>
      </c>
      <c r="C10" s="51">
        <f>IF(Dashboard!DA8=1,1,0)</f>
        <v>0</v>
      </c>
      <c r="D10" s="51">
        <f>IF(Dashboard!DA8=0,1,0)</f>
        <v>1</v>
      </c>
      <c r="G10" s="45"/>
      <c r="H10" s="45"/>
      <c r="I10" s="45"/>
    </row>
    <row r="11" spans="1:9" x14ac:dyDescent="0.35">
      <c r="B11" s="16">
        <v>8</v>
      </c>
      <c r="C11" s="51">
        <f>IF(Dashboard!DB8=1,1,0)</f>
        <v>0</v>
      </c>
      <c r="D11" s="51">
        <f>IF(Dashboard!DB8=0,1,0)</f>
        <v>1</v>
      </c>
      <c r="G11" s="45">
        <f>C62</f>
        <v>16</v>
      </c>
      <c r="H11" s="45" t="s">
        <v>9</v>
      </c>
      <c r="I11" s="45">
        <f>C62</f>
        <v>16</v>
      </c>
    </row>
    <row r="12" spans="1:9" x14ac:dyDescent="0.35">
      <c r="B12" s="16">
        <v>9</v>
      </c>
      <c r="C12" s="51">
        <f>IF(Dashboard!DC8=1,1,0)</f>
        <v>0</v>
      </c>
      <c r="D12" s="51">
        <f>IF(Dashboard!DC8=0,1,0)</f>
        <v>1</v>
      </c>
      <c r="G12" s="45">
        <f>D62</f>
        <v>19</v>
      </c>
      <c r="H12" s="45" t="s">
        <v>10</v>
      </c>
      <c r="I12" s="45">
        <f>D62</f>
        <v>19</v>
      </c>
    </row>
    <row r="13" spans="1:9" x14ac:dyDescent="0.35">
      <c r="B13" s="16">
        <v>10</v>
      </c>
      <c r="C13" s="51">
        <f>IF(Dashboard!DD8=1,1,0)</f>
        <v>0</v>
      </c>
      <c r="D13" s="51">
        <f>IF(Dashboard!DD8=0,1,0)</f>
        <v>1</v>
      </c>
      <c r="G13" s="45"/>
      <c r="H13" s="45"/>
      <c r="I13" s="45"/>
    </row>
    <row r="14" spans="1:9" x14ac:dyDescent="0.35">
      <c r="B14" s="16">
        <v>11</v>
      </c>
      <c r="C14" s="51">
        <f>IF(Dashboard!DE8=1,1,0)</f>
        <v>0</v>
      </c>
      <c r="D14" s="51">
        <f>IF(Dashboard!DE8=0,1,0)</f>
        <v>1</v>
      </c>
      <c r="G14" s="45"/>
      <c r="H14" s="45"/>
      <c r="I14" s="45"/>
    </row>
    <row r="15" spans="1:9" x14ac:dyDescent="0.35">
      <c r="B15" s="16">
        <v>12</v>
      </c>
      <c r="C15" s="51">
        <f>IF(Dashboard!DF8=1,1,0)</f>
        <v>0</v>
      </c>
      <c r="D15" s="51">
        <f>IF(Dashboard!DF8=0,1,0)</f>
        <v>1</v>
      </c>
      <c r="G15" s="45">
        <f>C82</f>
        <v>24</v>
      </c>
      <c r="H15" s="45" t="s">
        <v>15</v>
      </c>
      <c r="I15" s="45">
        <f>C82</f>
        <v>24</v>
      </c>
    </row>
    <row r="16" spans="1:9" x14ac:dyDescent="0.35">
      <c r="B16" s="16">
        <v>13</v>
      </c>
      <c r="C16" s="51">
        <f>IF(Dashboard!DG8=1,1,0)</f>
        <v>0</v>
      </c>
      <c r="D16" s="51">
        <f>IF(Dashboard!DG8=0,1,0)</f>
        <v>1</v>
      </c>
      <c r="G16" s="45">
        <f>D82</f>
        <v>9</v>
      </c>
      <c r="H16" s="45" t="s">
        <v>16</v>
      </c>
      <c r="I16" s="45">
        <f>D82</f>
        <v>9</v>
      </c>
    </row>
    <row r="17" spans="2:9" x14ac:dyDescent="0.35">
      <c r="B17" s="16">
        <v>14</v>
      </c>
      <c r="C17" s="51">
        <f>IF(Dashboard!DH8=1,1,0)</f>
        <v>0</v>
      </c>
      <c r="D17" s="51">
        <f>IF(Dashboard!DH8=0,1,0)</f>
        <v>1</v>
      </c>
    </row>
    <row r="18" spans="2:9" x14ac:dyDescent="0.35">
      <c r="B18" s="16">
        <v>15</v>
      </c>
      <c r="C18" s="51">
        <f>IF(Dashboard!DI8=1,1,0)</f>
        <v>0</v>
      </c>
      <c r="D18" s="51">
        <f>IF(Dashboard!DI8=0,1,0)</f>
        <v>1</v>
      </c>
    </row>
    <row r="19" spans="2:9" x14ac:dyDescent="0.35">
      <c r="B19" s="16"/>
      <c r="C19" s="52">
        <f>C102+C111</f>
        <v>6</v>
      </c>
      <c r="D19" s="52">
        <f>D102+D111</f>
        <v>10</v>
      </c>
    </row>
    <row r="20" spans="2:9" x14ac:dyDescent="0.35">
      <c r="B20" s="31"/>
      <c r="C20" s="53">
        <f>SUM(C4:C19)</f>
        <v>10</v>
      </c>
      <c r="D20" s="53">
        <f>SUM(D4:D19)</f>
        <v>21</v>
      </c>
    </row>
    <row r="21" spans="2:9" x14ac:dyDescent="0.35">
      <c r="B21" s="28"/>
      <c r="C21" s="54" t="s">
        <v>6</v>
      </c>
      <c r="D21" s="54" t="s">
        <v>36</v>
      </c>
      <c r="H21" s="48">
        <f>MAX(G3:G4)</f>
        <v>21</v>
      </c>
      <c r="I21" s="48" t="str">
        <f>VLOOKUP(H21,$G$3:$H$4,2,FALSE)</f>
        <v>I</v>
      </c>
    </row>
    <row r="22" spans="2:9" x14ac:dyDescent="0.35">
      <c r="B22" s="16">
        <v>16</v>
      </c>
      <c r="C22" s="51">
        <f>IF(Dashboard!DJ8=1,1,0)</f>
        <v>0</v>
      </c>
      <c r="D22" s="51">
        <f>IF(Dashboard!DJ8=0,1,0)</f>
        <v>1</v>
      </c>
      <c r="H22" s="48">
        <f>MAX(G7:G8)</f>
        <v>25</v>
      </c>
      <c r="I22" s="48" t="str">
        <f>VLOOKUP(H22,$G$7:$H$8,2,FALSE)</f>
        <v>S</v>
      </c>
    </row>
    <row r="23" spans="2:9" x14ac:dyDescent="0.35">
      <c r="B23" s="16">
        <v>17</v>
      </c>
      <c r="C23" s="51">
        <f>IF(Dashboard!DK8=1,1,0)</f>
        <v>1</v>
      </c>
      <c r="D23" s="51">
        <f>IF(Dashboard!DK8=0,1,0)</f>
        <v>0</v>
      </c>
      <c r="H23" s="48">
        <f>MAX(G11:G12)</f>
        <v>19</v>
      </c>
      <c r="I23" s="48" t="str">
        <f>VLOOKUP(H23,$G$11:$H$12,2,FALSE)</f>
        <v>F</v>
      </c>
    </row>
    <row r="24" spans="2:9" x14ac:dyDescent="0.35">
      <c r="B24" s="16">
        <v>18</v>
      </c>
      <c r="C24" s="51">
        <f>IF(Dashboard!DL8=1,1,0)</f>
        <v>1</v>
      </c>
      <c r="D24" s="51">
        <f>IF(Dashboard!DL8=0,1,0)</f>
        <v>0</v>
      </c>
      <c r="H24" s="48">
        <f>MAX(G15:G16)</f>
        <v>24</v>
      </c>
      <c r="I24" s="48" t="str">
        <f>VLOOKUP(H24,$G$15:$H$16,2,FALSE)</f>
        <v>J</v>
      </c>
    </row>
    <row r="25" spans="2:9" x14ac:dyDescent="0.35">
      <c r="B25" s="16">
        <v>19</v>
      </c>
      <c r="C25" s="51">
        <f>IF(Dashboard!DM8=1,1,0)</f>
        <v>0</v>
      </c>
      <c r="D25" s="51">
        <f>IF(Dashboard!DM8=0,1,0)</f>
        <v>1</v>
      </c>
      <c r="H25" s="48"/>
      <c r="I25" s="48"/>
    </row>
    <row r="26" spans="2:9" x14ac:dyDescent="0.35">
      <c r="B26" s="16">
        <v>20</v>
      </c>
      <c r="C26" s="51">
        <f>IF(Dashboard!DN8=1,1,0)</f>
        <v>1</v>
      </c>
      <c r="D26" s="51">
        <f>IF(Dashboard!DN8=0,1,0)</f>
        <v>0</v>
      </c>
      <c r="H26" s="48"/>
      <c r="I26" s="48" t="str">
        <f>CONCATENATE(I21,I22,I23,I24)</f>
        <v>ISFJ</v>
      </c>
    </row>
    <row r="27" spans="2:9" x14ac:dyDescent="0.35">
      <c r="B27" s="16">
        <v>21</v>
      </c>
      <c r="C27" s="51">
        <f>IF(Dashboard!DO8=1,1,0)</f>
        <v>1</v>
      </c>
      <c r="D27" s="51">
        <f>IF(Dashboard!DO8=0,1,0)</f>
        <v>0</v>
      </c>
    </row>
    <row r="28" spans="2:9" x14ac:dyDescent="0.35">
      <c r="B28" s="16">
        <v>22</v>
      </c>
      <c r="C28" s="51">
        <f>IF(Dashboard!DP8=1,1,0)</f>
        <v>1</v>
      </c>
      <c r="D28" s="51">
        <f>IF(Dashboard!DP8=0,1,0)</f>
        <v>0</v>
      </c>
    </row>
    <row r="29" spans="2:9" x14ac:dyDescent="0.35">
      <c r="B29" s="16">
        <v>23</v>
      </c>
      <c r="C29" s="51">
        <f>IF(Dashboard!DQ8=1,1,0)</f>
        <v>0</v>
      </c>
      <c r="D29" s="51">
        <f>IF(Dashboard!DQ8=0,1,0)</f>
        <v>1</v>
      </c>
    </row>
    <row r="30" spans="2:9" x14ac:dyDescent="0.35">
      <c r="B30" s="16">
        <v>24</v>
      </c>
      <c r="C30" s="51">
        <f>IF(Dashboard!DR8=1,1,0)</f>
        <v>0</v>
      </c>
      <c r="D30" s="51">
        <f>IF(Dashboard!DR8=0,1,0)</f>
        <v>1</v>
      </c>
    </row>
    <row r="31" spans="2:9" x14ac:dyDescent="0.35">
      <c r="B31" s="16">
        <v>25</v>
      </c>
      <c r="C31" s="51">
        <f>IF(Dashboard!DS8=1,1,0)</f>
        <v>1</v>
      </c>
      <c r="D31" s="51">
        <f>IF(Dashboard!DS8=0,1,0)</f>
        <v>0</v>
      </c>
    </row>
    <row r="32" spans="2:9" x14ac:dyDescent="0.35">
      <c r="B32" s="16">
        <v>26</v>
      </c>
      <c r="C32" s="51">
        <f>IF(Dashboard!DT8=1,1,0)</f>
        <v>1</v>
      </c>
      <c r="D32" s="51">
        <f>IF(Dashboard!DT8=0,1,0)</f>
        <v>0</v>
      </c>
    </row>
    <row r="33" spans="2:4" x14ac:dyDescent="0.35">
      <c r="B33" s="16">
        <v>27</v>
      </c>
      <c r="C33" s="51">
        <f>IF(Dashboard!DU8=1,1,0)</f>
        <v>1</v>
      </c>
      <c r="D33" s="51">
        <f>IF(Dashboard!DU8=0,1,0)</f>
        <v>0</v>
      </c>
    </row>
    <row r="34" spans="2:4" x14ac:dyDescent="0.35">
      <c r="B34" s="16">
        <v>28</v>
      </c>
      <c r="C34" s="51">
        <f>IF(Dashboard!DV8=1,1,0)</f>
        <v>1</v>
      </c>
      <c r="D34" s="51">
        <f>IF(Dashboard!DV8=0,1,0)</f>
        <v>0</v>
      </c>
    </row>
    <row r="35" spans="2:4" x14ac:dyDescent="0.35">
      <c r="B35" s="16">
        <v>29</v>
      </c>
      <c r="C35" s="51">
        <f>IF(Dashboard!DW8=1,1,0)</f>
        <v>1</v>
      </c>
      <c r="D35" s="51">
        <f>IF(Dashboard!DW8=0,1,0)</f>
        <v>0</v>
      </c>
    </row>
    <row r="36" spans="2:4" x14ac:dyDescent="0.35">
      <c r="B36" s="16">
        <v>30</v>
      </c>
      <c r="C36" s="51">
        <f>IF(Dashboard!DX8=1,1,0)</f>
        <v>0</v>
      </c>
      <c r="D36" s="51">
        <f>IF(Dashboard!DX8=0,1,0)</f>
        <v>1</v>
      </c>
    </row>
    <row r="37" spans="2:4" x14ac:dyDescent="0.35">
      <c r="B37" s="16">
        <v>31</v>
      </c>
      <c r="C37" s="51">
        <f>IF(Dashboard!DY8=1,1,0)</f>
        <v>1</v>
      </c>
      <c r="D37" s="51">
        <f>IF(Dashboard!DY8=0,1,0)</f>
        <v>0</v>
      </c>
    </row>
    <row r="38" spans="2:4" x14ac:dyDescent="0.35">
      <c r="B38" s="16">
        <v>32</v>
      </c>
      <c r="C38" s="51">
        <f>IF(Dashboard!DZ8=1,1,0)</f>
        <v>1</v>
      </c>
      <c r="D38" s="51">
        <f>IF(Dashboard!DZ8=0,1,0)</f>
        <v>0</v>
      </c>
    </row>
    <row r="39" spans="2:4" x14ac:dyDescent="0.35">
      <c r="B39" s="16"/>
      <c r="C39" s="52">
        <f>F102+F111</f>
        <v>13</v>
      </c>
      <c r="D39" s="52">
        <f>G102+G111</f>
        <v>3</v>
      </c>
    </row>
    <row r="40" spans="2:4" x14ac:dyDescent="0.35">
      <c r="B40" s="31"/>
      <c r="C40" s="53">
        <f>SUM(C22:C39)</f>
        <v>25</v>
      </c>
      <c r="D40" s="53">
        <f>SUM(D22:D39)</f>
        <v>8</v>
      </c>
    </row>
    <row r="41" spans="2:4" x14ac:dyDescent="0.35">
      <c r="B41" s="28"/>
      <c r="C41" s="54" t="s">
        <v>9</v>
      </c>
      <c r="D41" s="54" t="s">
        <v>10</v>
      </c>
    </row>
    <row r="42" spans="2:4" x14ac:dyDescent="0.35">
      <c r="B42" s="16">
        <v>33</v>
      </c>
      <c r="C42" s="51">
        <f>IF(Dashboard!EA8=1,1,0)</f>
        <v>0</v>
      </c>
      <c r="D42" s="51">
        <f>IF(Dashboard!EA8=0,1,0)</f>
        <v>1</v>
      </c>
    </row>
    <row r="43" spans="2:4" x14ac:dyDescent="0.35">
      <c r="B43" s="16">
        <v>34</v>
      </c>
      <c r="C43" s="51">
        <f>IF(Dashboard!EB8=1,1,0)</f>
        <v>0</v>
      </c>
      <c r="D43" s="51">
        <f>IF(Dashboard!EB8=0,1,0)</f>
        <v>1</v>
      </c>
    </row>
    <row r="44" spans="2:4" x14ac:dyDescent="0.35">
      <c r="B44" s="16">
        <v>35</v>
      </c>
      <c r="C44" s="51">
        <f>IF(Dashboard!EC8=1,1,0)</f>
        <v>0</v>
      </c>
      <c r="D44" s="51">
        <f>IF(Dashboard!EC8=0,1,0)</f>
        <v>1</v>
      </c>
    </row>
    <row r="45" spans="2:4" x14ac:dyDescent="0.35">
      <c r="B45" s="16">
        <v>36</v>
      </c>
      <c r="C45" s="51">
        <f>IF(Dashboard!ED8=1,1,0)</f>
        <v>0</v>
      </c>
      <c r="D45" s="51">
        <f>IF(Dashboard!ED8=0,1,0)</f>
        <v>1</v>
      </c>
    </row>
    <row r="46" spans="2:4" x14ac:dyDescent="0.35">
      <c r="B46" s="16">
        <v>37</v>
      </c>
      <c r="C46" s="51">
        <f>IF(Dashboard!EE8=1,1,0)</f>
        <v>1</v>
      </c>
      <c r="D46" s="51">
        <f>IF(Dashboard!EE8=0,1,0)</f>
        <v>0</v>
      </c>
    </row>
    <row r="47" spans="2:4" x14ac:dyDescent="0.35">
      <c r="B47" s="16">
        <v>38</v>
      </c>
      <c r="C47" s="51">
        <f>IF(Dashboard!EF8=1,1,0)</f>
        <v>1</v>
      </c>
      <c r="D47" s="51">
        <f>IF(Dashboard!EF8=0,1,0)</f>
        <v>0</v>
      </c>
    </row>
    <row r="48" spans="2:4" x14ac:dyDescent="0.35">
      <c r="B48" s="16">
        <v>39</v>
      </c>
      <c r="C48" s="51">
        <f>IF(Dashboard!EG8=1,1,0)</f>
        <v>0</v>
      </c>
      <c r="D48" s="51">
        <f>IF(Dashboard!EG8=0,1,0)</f>
        <v>1</v>
      </c>
    </row>
    <row r="49" spans="2:4" x14ac:dyDescent="0.35">
      <c r="B49" s="16">
        <v>40</v>
      </c>
      <c r="C49" s="51">
        <f>IF(Dashboard!EH8=1,1,0)</f>
        <v>1</v>
      </c>
      <c r="D49" s="51">
        <f>IF(Dashboard!EH8=0,1,0)</f>
        <v>0</v>
      </c>
    </row>
    <row r="50" spans="2:4" x14ac:dyDescent="0.35">
      <c r="B50" s="16">
        <v>41</v>
      </c>
      <c r="C50" s="51">
        <f>IF(Dashboard!EI8=1,1,0)</f>
        <v>1</v>
      </c>
      <c r="D50" s="51">
        <f>IF(Dashboard!EI8=0,1,0)</f>
        <v>0</v>
      </c>
    </row>
    <row r="51" spans="2:4" x14ac:dyDescent="0.35">
      <c r="B51" s="16">
        <v>42</v>
      </c>
      <c r="C51" s="51">
        <f>IF(Dashboard!EJ8=1,1,0)</f>
        <v>0</v>
      </c>
      <c r="D51" s="51">
        <f>IF(Dashboard!EJ8=0,1,0)</f>
        <v>1</v>
      </c>
    </row>
    <row r="52" spans="2:4" x14ac:dyDescent="0.35">
      <c r="B52" s="16">
        <v>43</v>
      </c>
      <c r="C52" s="51">
        <f>IF(Dashboard!EK8=1,1,0)</f>
        <v>1</v>
      </c>
      <c r="D52" s="51">
        <f>IF(Dashboard!EK8=0,1,0)</f>
        <v>0</v>
      </c>
    </row>
    <row r="53" spans="2:4" x14ac:dyDescent="0.35">
      <c r="B53" s="16">
        <v>44</v>
      </c>
      <c r="C53" s="51">
        <f>IF(Dashboard!EL8=1,1,0)</f>
        <v>1</v>
      </c>
      <c r="D53" s="51">
        <f>IF(Dashboard!EL8=0,1,0)</f>
        <v>0</v>
      </c>
    </row>
    <row r="54" spans="2:4" x14ac:dyDescent="0.35">
      <c r="B54" s="16">
        <v>45</v>
      </c>
      <c r="C54" s="51">
        <f>IF(Dashboard!EM8=1,1,0)</f>
        <v>0</v>
      </c>
      <c r="D54" s="51">
        <f>IF(Dashboard!EM8=0,1,0)</f>
        <v>1</v>
      </c>
    </row>
    <row r="55" spans="2:4" x14ac:dyDescent="0.35">
      <c r="B55" s="16">
        <v>46</v>
      </c>
      <c r="C55" s="51">
        <f>IF(Dashboard!EN8=1,1,0)</f>
        <v>0</v>
      </c>
      <c r="D55" s="51">
        <f>IF(Dashboard!EN8=0,1,0)</f>
        <v>1</v>
      </c>
    </row>
    <row r="56" spans="2:4" x14ac:dyDescent="0.35">
      <c r="B56" s="16">
        <v>47</v>
      </c>
      <c r="C56" s="51">
        <f>IF(Dashboard!EO8=1,1,0)</f>
        <v>0</v>
      </c>
      <c r="D56" s="51">
        <f>IF(Dashboard!EO8=0,1,0)</f>
        <v>1</v>
      </c>
    </row>
    <row r="57" spans="2:4" x14ac:dyDescent="0.35">
      <c r="B57" s="16">
        <v>48</v>
      </c>
      <c r="C57" s="51">
        <f>IF(Dashboard!EP8=1,1,0)</f>
        <v>0</v>
      </c>
      <c r="D57" s="51">
        <f>IF(Dashboard!EP8=0,1,0)</f>
        <v>1</v>
      </c>
    </row>
    <row r="58" spans="2:4" x14ac:dyDescent="0.35">
      <c r="B58" s="16">
        <v>49</v>
      </c>
      <c r="C58" s="51">
        <f>IF(Dashboard!EQ8=1,1,0)</f>
        <v>0</v>
      </c>
      <c r="D58" s="51">
        <f>IF(Dashboard!EQ8=0,1,0)</f>
        <v>1</v>
      </c>
    </row>
    <row r="59" spans="2:4" x14ac:dyDescent="0.35">
      <c r="B59" s="16">
        <v>50</v>
      </c>
      <c r="C59" s="51">
        <f>IF(Dashboard!ER8=1,1,0)</f>
        <v>0</v>
      </c>
      <c r="D59" s="51">
        <f>IF(Dashboard!ER8=0,1,0)</f>
        <v>1</v>
      </c>
    </row>
    <row r="60" spans="2:4" x14ac:dyDescent="0.35">
      <c r="B60" s="16">
        <v>51</v>
      </c>
      <c r="C60" s="51">
        <f>IF(Dashboard!ES8=1,1,0)</f>
        <v>0</v>
      </c>
      <c r="D60" s="51">
        <f>IF(Dashboard!ES8=0,1,0)</f>
        <v>1</v>
      </c>
    </row>
    <row r="61" spans="2:4" x14ac:dyDescent="0.35">
      <c r="B61" s="16"/>
      <c r="C61" s="52">
        <f>J102+I111</f>
        <v>10</v>
      </c>
      <c r="D61" s="52">
        <f>I102+J111</f>
        <v>6</v>
      </c>
    </row>
    <row r="62" spans="2:4" x14ac:dyDescent="0.35">
      <c r="B62" s="31"/>
      <c r="C62" s="53">
        <f>SUM(C42:C61)</f>
        <v>16</v>
      </c>
      <c r="D62" s="53">
        <f>SUM(D42:D61)</f>
        <v>19</v>
      </c>
    </row>
    <row r="63" spans="2:4" x14ac:dyDescent="0.35">
      <c r="B63" s="28"/>
      <c r="C63" s="54" t="s">
        <v>11</v>
      </c>
      <c r="D63" s="54" t="s">
        <v>12</v>
      </c>
    </row>
    <row r="64" spans="2:4" x14ac:dyDescent="0.35">
      <c r="B64" s="16">
        <v>52</v>
      </c>
      <c r="C64" s="51">
        <f>IF(Dashboard!ET8=1,1,0)</f>
        <v>1</v>
      </c>
      <c r="D64" s="51">
        <f>IF(Dashboard!ET8=0,1,0)</f>
        <v>0</v>
      </c>
    </row>
    <row r="65" spans="2:4" x14ac:dyDescent="0.35">
      <c r="B65" s="16">
        <v>53</v>
      </c>
      <c r="C65" s="51">
        <f>IF(Dashboard!EU8=1,1,0)</f>
        <v>1</v>
      </c>
      <c r="D65" s="51">
        <f>IF(Dashboard!EU8=0,1,0)</f>
        <v>0</v>
      </c>
    </row>
    <row r="66" spans="2:4" x14ac:dyDescent="0.35">
      <c r="B66" s="16">
        <v>54</v>
      </c>
      <c r="C66" s="51">
        <f>IF(Dashboard!EV8=1,1,0)</f>
        <v>0</v>
      </c>
      <c r="D66" s="51">
        <f>IF(Dashboard!EV8=0,1,0)</f>
        <v>1</v>
      </c>
    </row>
    <row r="67" spans="2:4" x14ac:dyDescent="0.35">
      <c r="B67" s="16">
        <v>55</v>
      </c>
      <c r="C67" s="51">
        <f>IF(Dashboard!EW8=1,1,0)</f>
        <v>1</v>
      </c>
      <c r="D67" s="51">
        <f>IF(Dashboard!EW8=0,1,0)</f>
        <v>0</v>
      </c>
    </row>
    <row r="68" spans="2:4" x14ac:dyDescent="0.35">
      <c r="B68" s="16">
        <v>56</v>
      </c>
      <c r="C68" s="51">
        <f>IF(Dashboard!EX8=1,1,0)</f>
        <v>1</v>
      </c>
      <c r="D68" s="51">
        <f>IF(Dashboard!EX8=0,1,0)</f>
        <v>0</v>
      </c>
    </row>
    <row r="69" spans="2:4" x14ac:dyDescent="0.35">
      <c r="B69" s="16">
        <v>57</v>
      </c>
      <c r="C69" s="51">
        <f>IF(Dashboard!EY8=1,1,0)</f>
        <v>1</v>
      </c>
      <c r="D69" s="51">
        <f>IF(Dashboard!EY8=0,1,0)</f>
        <v>0</v>
      </c>
    </row>
    <row r="70" spans="2:4" x14ac:dyDescent="0.35">
      <c r="B70" s="16">
        <v>58</v>
      </c>
      <c r="C70" s="51">
        <f>IF(Dashboard!EZ8=1,1,0)</f>
        <v>1</v>
      </c>
      <c r="D70" s="51">
        <f>IF(Dashboard!EZ8=0,1,0)</f>
        <v>0</v>
      </c>
    </row>
    <row r="71" spans="2:4" x14ac:dyDescent="0.35">
      <c r="B71" s="16">
        <v>59</v>
      </c>
      <c r="C71" s="51">
        <f>IF(Dashboard!FA8=1,1,0)</f>
        <v>1</v>
      </c>
      <c r="D71" s="51">
        <f>IF(Dashboard!FA8=0,1,0)</f>
        <v>0</v>
      </c>
    </row>
    <row r="72" spans="2:4" x14ac:dyDescent="0.35">
      <c r="B72" s="16">
        <v>60</v>
      </c>
      <c r="C72" s="51">
        <f>IF(Dashboard!FB8=1,1,0)</f>
        <v>1</v>
      </c>
      <c r="D72" s="51">
        <f>IF(Dashboard!FB8=0,1,0)</f>
        <v>0</v>
      </c>
    </row>
    <row r="73" spans="2:4" x14ac:dyDescent="0.35">
      <c r="B73" s="16">
        <v>61</v>
      </c>
      <c r="C73" s="51">
        <f>IF(Dashboard!FC8=1,1,0)</f>
        <v>1</v>
      </c>
      <c r="D73" s="51">
        <f>IF(Dashboard!FC8=0,1,0)</f>
        <v>0</v>
      </c>
    </row>
    <row r="74" spans="2:4" x14ac:dyDescent="0.35">
      <c r="B74" s="16">
        <v>62</v>
      </c>
      <c r="C74" s="51">
        <f>IF(Dashboard!FD8=1,1,0)</f>
        <v>0</v>
      </c>
      <c r="D74" s="51">
        <f>IF(Dashboard!FD8=0,1,0)</f>
        <v>1</v>
      </c>
    </row>
    <row r="75" spans="2:4" x14ac:dyDescent="0.35">
      <c r="B75" s="16">
        <v>63</v>
      </c>
      <c r="C75" s="51">
        <f>IF(Dashboard!FE8=1,1,0)</f>
        <v>0</v>
      </c>
      <c r="D75" s="51">
        <f>IF(Dashboard!FE8=0,1,0)</f>
        <v>1</v>
      </c>
    </row>
    <row r="76" spans="2:4" x14ac:dyDescent="0.35">
      <c r="B76" s="16">
        <v>64</v>
      </c>
      <c r="C76" s="51">
        <f>IF(Dashboard!FF8=1,1,0)</f>
        <v>0</v>
      </c>
      <c r="D76" s="51">
        <f>IF(Dashboard!FF8=0,1,0)</f>
        <v>1</v>
      </c>
    </row>
    <row r="77" spans="2:4" x14ac:dyDescent="0.35">
      <c r="B77" s="16">
        <v>65</v>
      </c>
      <c r="C77" s="51">
        <f>IF(Dashboard!FG8=1,1,0)</f>
        <v>1</v>
      </c>
      <c r="D77" s="51">
        <f>IF(Dashboard!FG8=0,1,0)</f>
        <v>0</v>
      </c>
    </row>
    <row r="78" spans="2:4" x14ac:dyDescent="0.35">
      <c r="B78" s="16">
        <v>66</v>
      </c>
      <c r="C78" s="51">
        <f>IF(Dashboard!FH8=1,1,0)</f>
        <v>0</v>
      </c>
      <c r="D78" s="51">
        <f>IF(Dashboard!FH8=0,1,0)</f>
        <v>1</v>
      </c>
    </row>
    <row r="79" spans="2:4" x14ac:dyDescent="0.35">
      <c r="B79" s="16">
        <v>67</v>
      </c>
      <c r="C79" s="51">
        <f>IF(Dashboard!FI8=1,1,0)</f>
        <v>0</v>
      </c>
      <c r="D79" s="51">
        <f>IF(Dashboard!FI8=0,1,0)</f>
        <v>1</v>
      </c>
    </row>
    <row r="80" spans="2:4" x14ac:dyDescent="0.35">
      <c r="B80" s="16">
        <v>68</v>
      </c>
      <c r="C80" s="51">
        <f>IF(Dashboard!FJ8=1,1,0)</f>
        <v>0</v>
      </c>
      <c r="D80" s="51">
        <f>IF(Dashboard!FJ8=0,1,0)</f>
        <v>1</v>
      </c>
    </row>
    <row r="81" spans="1:13" x14ac:dyDescent="0.35">
      <c r="B81" s="16"/>
      <c r="C81" s="52">
        <f>L102+L111</f>
        <v>14</v>
      </c>
      <c r="D81" s="52">
        <f>M102+M111</f>
        <v>2</v>
      </c>
    </row>
    <row r="82" spans="1:13" x14ac:dyDescent="0.35">
      <c r="B82" s="31"/>
      <c r="C82" s="53">
        <f>SUM(C64:C81)</f>
        <v>24</v>
      </c>
      <c r="D82" s="53">
        <f>SUM(D64:D81)</f>
        <v>9</v>
      </c>
    </row>
    <row r="88" spans="1:13" ht="15" thickBot="1" x14ac:dyDescent="0.4">
      <c r="A88" s="2" t="s">
        <v>69</v>
      </c>
    </row>
    <row r="89" spans="1:13" ht="15" thickBot="1" x14ac:dyDescent="0.4">
      <c r="C89" s="29" t="s">
        <v>4</v>
      </c>
      <c r="D89" s="30" t="s">
        <v>5</v>
      </c>
      <c r="E89" s="9"/>
      <c r="F89" s="29" t="s">
        <v>6</v>
      </c>
      <c r="G89" s="30" t="s">
        <v>36</v>
      </c>
      <c r="H89" s="9"/>
      <c r="I89" s="29" t="s">
        <v>10</v>
      </c>
      <c r="J89" s="30" t="s">
        <v>9</v>
      </c>
      <c r="K89" s="9"/>
      <c r="L89" s="29" t="s">
        <v>15</v>
      </c>
      <c r="M89" s="30" t="s">
        <v>16</v>
      </c>
    </row>
    <row r="90" spans="1:13" x14ac:dyDescent="0.35">
      <c r="B90" s="2">
        <v>1</v>
      </c>
      <c r="C90" s="55">
        <f>IF(Dashboard!FK8=1,1,0)</f>
        <v>0</v>
      </c>
      <c r="D90" s="56">
        <f>IF(C90=1,0,1)</f>
        <v>1</v>
      </c>
      <c r="E90" s="2">
        <v>2</v>
      </c>
      <c r="F90" s="55">
        <f>IF(Dashboard!FL8=1,1,0)</f>
        <v>1</v>
      </c>
      <c r="G90" s="56">
        <f>IF(F90=1,0,1)</f>
        <v>0</v>
      </c>
      <c r="H90" s="2">
        <v>3</v>
      </c>
      <c r="I90" s="55">
        <f>IF(Dashboard!FM8=1,1,0)</f>
        <v>1</v>
      </c>
      <c r="J90" s="56">
        <f>IF(I90=1,0,1)</f>
        <v>0</v>
      </c>
      <c r="K90" s="2">
        <v>4</v>
      </c>
      <c r="L90" s="55">
        <f>IF(Dashboard!FN8=1,1,0)</f>
        <v>1</v>
      </c>
      <c r="M90" s="56">
        <f>IF(L90=1,0,1)</f>
        <v>0</v>
      </c>
    </row>
    <row r="91" spans="1:13" x14ac:dyDescent="0.35">
      <c r="B91" s="2">
        <v>5</v>
      </c>
      <c r="C91" s="57">
        <f>IF(Dashboard!FO8=1,1,0)</f>
        <v>0</v>
      </c>
      <c r="D91" s="56">
        <f t="shared" ref="D91:D101" si="0">IF(C91=1,0,1)</f>
        <v>1</v>
      </c>
      <c r="E91" s="2">
        <v>6</v>
      </c>
      <c r="F91" s="57">
        <f>IF(Dashboard!FP8=1,1,0)</f>
        <v>1</v>
      </c>
      <c r="G91" s="56">
        <f t="shared" ref="G91:G101" si="1">IF(F91=1,0,1)</f>
        <v>0</v>
      </c>
      <c r="H91" s="2">
        <v>7</v>
      </c>
      <c r="I91" s="57">
        <f>IF(Dashboard!FQ8=1,1,0)</f>
        <v>0</v>
      </c>
      <c r="J91" s="56">
        <f t="shared" ref="J91:J101" si="2">IF(I91=1,0,1)</f>
        <v>1</v>
      </c>
      <c r="K91" s="2">
        <v>8</v>
      </c>
      <c r="L91" s="57">
        <f>IF(Dashboard!FR8=1,1,0)</f>
        <v>1</v>
      </c>
      <c r="M91" s="56">
        <f t="shared" ref="M91:M101" si="3">IF(L91=1,0,1)</f>
        <v>0</v>
      </c>
    </row>
    <row r="92" spans="1:13" x14ac:dyDescent="0.35">
      <c r="B92" s="2">
        <v>9</v>
      </c>
      <c r="C92" s="57">
        <f>IF(Dashboard!FS8=1,1,0)</f>
        <v>0</v>
      </c>
      <c r="D92" s="56">
        <f t="shared" si="0"/>
        <v>1</v>
      </c>
      <c r="E92" s="2">
        <v>10</v>
      </c>
      <c r="F92" s="57">
        <f>IF(Dashboard!FT8=1,1,0)</f>
        <v>1</v>
      </c>
      <c r="G92" s="56">
        <f t="shared" si="1"/>
        <v>0</v>
      </c>
      <c r="H92" s="2">
        <v>11</v>
      </c>
      <c r="I92" s="57">
        <f>IF(Dashboard!FU8=1,1,0)</f>
        <v>1</v>
      </c>
      <c r="J92" s="56">
        <f t="shared" si="2"/>
        <v>0</v>
      </c>
      <c r="K92" s="2">
        <v>12</v>
      </c>
      <c r="L92" s="57">
        <f>IF(Dashboard!FV8=1,1,0)</f>
        <v>1</v>
      </c>
      <c r="M92" s="56">
        <f t="shared" si="3"/>
        <v>0</v>
      </c>
    </row>
    <row r="93" spans="1:13" x14ac:dyDescent="0.35">
      <c r="B93" s="2">
        <v>13</v>
      </c>
      <c r="C93" s="57">
        <f>IF(Dashboard!FW8=1,1,0)</f>
        <v>0</v>
      </c>
      <c r="D93" s="56">
        <f t="shared" si="0"/>
        <v>1</v>
      </c>
      <c r="E93" s="2">
        <v>14</v>
      </c>
      <c r="F93" s="57">
        <f>IF(Dashboard!FX8=1,1,0)</f>
        <v>0</v>
      </c>
      <c r="G93" s="56">
        <f t="shared" si="1"/>
        <v>1</v>
      </c>
      <c r="H93" s="2">
        <v>15</v>
      </c>
      <c r="I93" s="57">
        <f>IF(Dashboard!FY8=1,1,0)</f>
        <v>0</v>
      </c>
      <c r="J93" s="56">
        <f t="shared" si="2"/>
        <v>1</v>
      </c>
      <c r="K93" s="2">
        <v>16</v>
      </c>
      <c r="L93" s="57">
        <f>IF(Dashboard!FZ8=1,1,0)</f>
        <v>1</v>
      </c>
      <c r="M93" s="56">
        <f t="shared" si="3"/>
        <v>0</v>
      </c>
    </row>
    <row r="94" spans="1:13" x14ac:dyDescent="0.35">
      <c r="B94" s="2">
        <v>17</v>
      </c>
      <c r="C94" s="57">
        <f>IF(Dashboard!GA8=1,1,0)</f>
        <v>1</v>
      </c>
      <c r="D94" s="56">
        <f t="shared" si="0"/>
        <v>0</v>
      </c>
      <c r="E94" s="2">
        <v>18</v>
      </c>
      <c r="F94" s="57">
        <f>IF(Dashboard!GB8=1,1,0)</f>
        <v>1</v>
      </c>
      <c r="G94" s="56">
        <f t="shared" si="1"/>
        <v>0</v>
      </c>
      <c r="H94" s="2">
        <v>19</v>
      </c>
      <c r="I94" s="57">
        <f>IF(Dashboard!GC8=1,1,0)</f>
        <v>0</v>
      </c>
      <c r="J94" s="56">
        <f t="shared" si="2"/>
        <v>1</v>
      </c>
      <c r="K94" s="2">
        <v>20</v>
      </c>
      <c r="L94" s="57">
        <f>IF(Dashboard!GD8=1,1,0)</f>
        <v>1</v>
      </c>
      <c r="M94" s="56">
        <f t="shared" si="3"/>
        <v>0</v>
      </c>
    </row>
    <row r="95" spans="1:13" x14ac:dyDescent="0.35">
      <c r="B95" s="2">
        <v>21</v>
      </c>
      <c r="C95" s="57">
        <f>IF(Dashboard!GE8=1,1,0)</f>
        <v>1</v>
      </c>
      <c r="D95" s="56">
        <f t="shared" si="0"/>
        <v>0</v>
      </c>
      <c r="E95" s="2">
        <v>22</v>
      </c>
      <c r="F95" s="57">
        <f>IF(Dashboard!GF8=1,1,0)</f>
        <v>1</v>
      </c>
      <c r="G95" s="56">
        <f t="shared" si="1"/>
        <v>0</v>
      </c>
      <c r="H95" s="2">
        <v>23</v>
      </c>
      <c r="I95" s="57">
        <f>IF(Dashboard!GG8=1,1,0)</f>
        <v>0</v>
      </c>
      <c r="J95" s="56">
        <f t="shared" si="2"/>
        <v>1</v>
      </c>
      <c r="K95" s="2">
        <v>24</v>
      </c>
      <c r="L95" s="57">
        <f>IF(Dashboard!GH8=1,1,0)</f>
        <v>0</v>
      </c>
      <c r="M95" s="56">
        <f t="shared" si="3"/>
        <v>1</v>
      </c>
    </row>
    <row r="96" spans="1:13" x14ac:dyDescent="0.35">
      <c r="B96" s="2">
        <v>25</v>
      </c>
      <c r="C96" s="57">
        <f>IF(Dashboard!GI8=1,1,0)</f>
        <v>0</v>
      </c>
      <c r="D96" s="56">
        <f t="shared" si="0"/>
        <v>1</v>
      </c>
      <c r="E96" s="2">
        <v>26</v>
      </c>
      <c r="F96" s="57">
        <f>IF(Dashboard!GJ8=1,1,0)</f>
        <v>1</v>
      </c>
      <c r="G96" s="56">
        <f t="shared" si="1"/>
        <v>0</v>
      </c>
      <c r="H96" s="2">
        <v>27</v>
      </c>
      <c r="I96" s="57">
        <f>IF(Dashboard!GK8=1,1,0)</f>
        <v>0</v>
      </c>
      <c r="J96" s="56">
        <f t="shared" si="2"/>
        <v>1</v>
      </c>
      <c r="K96" s="2">
        <v>28</v>
      </c>
      <c r="L96" s="57">
        <f>IF(Dashboard!GL8=1,1,0)</f>
        <v>1</v>
      </c>
      <c r="M96" s="56">
        <f t="shared" si="3"/>
        <v>0</v>
      </c>
    </row>
    <row r="97" spans="1:13" x14ac:dyDescent="0.35">
      <c r="B97" s="2">
        <v>29</v>
      </c>
      <c r="C97" s="57">
        <f>IF(Dashboard!GM8=1,1,0)</f>
        <v>1</v>
      </c>
      <c r="D97" s="56">
        <f t="shared" si="0"/>
        <v>0</v>
      </c>
      <c r="E97" s="2">
        <v>30</v>
      </c>
      <c r="F97" s="57">
        <f>IF(Dashboard!GN8=1,1,0)</f>
        <v>1</v>
      </c>
      <c r="G97" s="56">
        <f t="shared" si="1"/>
        <v>0</v>
      </c>
      <c r="H97" s="2">
        <v>31</v>
      </c>
      <c r="I97" s="57">
        <f>IF(Dashboard!GO8=1,1,0)</f>
        <v>1</v>
      </c>
      <c r="J97" s="56">
        <f t="shared" si="2"/>
        <v>0</v>
      </c>
      <c r="K97" s="2">
        <v>32</v>
      </c>
      <c r="L97" s="57">
        <f>IF(Dashboard!GP8=1,1,0)</f>
        <v>1</v>
      </c>
      <c r="M97" s="56">
        <f t="shared" si="3"/>
        <v>0</v>
      </c>
    </row>
    <row r="98" spans="1:13" x14ac:dyDescent="0.35">
      <c r="B98" s="2">
        <v>33</v>
      </c>
      <c r="C98" s="57">
        <f>IF(Dashboard!GQ8=1,1,0)</f>
        <v>0</v>
      </c>
      <c r="D98" s="56">
        <f t="shared" si="0"/>
        <v>1</v>
      </c>
      <c r="E98" s="2">
        <v>34</v>
      </c>
      <c r="F98" s="57">
        <f>IF(Dashboard!GR8=1,1,0)</f>
        <v>1</v>
      </c>
      <c r="G98" s="56">
        <f t="shared" si="1"/>
        <v>0</v>
      </c>
      <c r="H98" s="2">
        <v>35</v>
      </c>
      <c r="I98" s="57">
        <f>IF(Dashboard!GS8=1,1,0)</f>
        <v>1</v>
      </c>
      <c r="J98" s="56">
        <f t="shared" si="2"/>
        <v>0</v>
      </c>
      <c r="K98" s="2">
        <v>36</v>
      </c>
      <c r="L98" s="57">
        <f>IF(Dashboard!GT8=1,1,0)</f>
        <v>0</v>
      </c>
      <c r="M98" s="56">
        <f t="shared" si="3"/>
        <v>1</v>
      </c>
    </row>
    <row r="99" spans="1:13" x14ac:dyDescent="0.35">
      <c r="B99" s="2">
        <v>37</v>
      </c>
      <c r="C99" s="57">
        <f>IF(Dashboard!GU8=1,1,0)</f>
        <v>0</v>
      </c>
      <c r="D99" s="56">
        <f t="shared" si="0"/>
        <v>1</v>
      </c>
      <c r="E99" s="2">
        <v>38</v>
      </c>
      <c r="F99" s="57">
        <f>IF(Dashboard!GV8=1,1,0)</f>
        <v>0</v>
      </c>
      <c r="G99" s="56">
        <f t="shared" si="1"/>
        <v>1</v>
      </c>
      <c r="H99" s="2">
        <v>39</v>
      </c>
      <c r="I99" s="57">
        <f>IF(Dashboard!GW8=1,1,0)</f>
        <v>0</v>
      </c>
      <c r="J99" s="56">
        <f t="shared" si="2"/>
        <v>1</v>
      </c>
      <c r="K99" s="2">
        <v>40</v>
      </c>
      <c r="L99" s="57">
        <f>IF(Dashboard!GX8=1,1,0)</f>
        <v>1</v>
      </c>
      <c r="M99" s="56">
        <f t="shared" si="3"/>
        <v>0</v>
      </c>
    </row>
    <row r="100" spans="1:13" x14ac:dyDescent="0.35">
      <c r="B100" s="2">
        <v>41</v>
      </c>
      <c r="C100" s="57">
        <f>IF(Dashboard!GY8=1,1,0)</f>
        <v>1</v>
      </c>
      <c r="D100" s="56">
        <f t="shared" si="0"/>
        <v>0</v>
      </c>
      <c r="E100" s="2">
        <v>42</v>
      </c>
      <c r="F100" s="57">
        <f>IF(Dashboard!GZ8=1,1,0)</f>
        <v>1</v>
      </c>
      <c r="G100" s="56">
        <f t="shared" si="1"/>
        <v>0</v>
      </c>
      <c r="H100" s="2">
        <v>43</v>
      </c>
      <c r="I100" s="57">
        <f>IF(Dashboard!HA8=1,1,0)</f>
        <v>1</v>
      </c>
      <c r="J100" s="56">
        <f t="shared" si="2"/>
        <v>0</v>
      </c>
      <c r="K100" s="2">
        <v>44</v>
      </c>
      <c r="L100" s="57">
        <f>IF(Dashboard!HB8=1,1,0)</f>
        <v>1</v>
      </c>
      <c r="M100" s="56">
        <f t="shared" si="3"/>
        <v>0</v>
      </c>
    </row>
    <row r="101" spans="1:13" ht="15" thickBot="1" x14ac:dyDescent="0.4">
      <c r="B101" s="2">
        <v>45</v>
      </c>
      <c r="C101" s="58">
        <f>IF(Dashboard!HC8=1,1,0)</f>
        <v>0</v>
      </c>
      <c r="D101" s="56">
        <f t="shared" si="0"/>
        <v>1</v>
      </c>
      <c r="E101" s="2">
        <v>46</v>
      </c>
      <c r="F101" s="58">
        <f>IF(Dashboard!HD8=1,1,0)</f>
        <v>1</v>
      </c>
      <c r="G101" s="56">
        <f t="shared" si="1"/>
        <v>0</v>
      </c>
      <c r="H101" s="2">
        <v>47</v>
      </c>
      <c r="I101" s="58">
        <f>IF(Dashboard!HE8=1,1,0)</f>
        <v>0</v>
      </c>
      <c r="J101" s="56">
        <f t="shared" si="2"/>
        <v>1</v>
      </c>
      <c r="K101" s="2">
        <v>48</v>
      </c>
      <c r="L101" s="58">
        <f>IF(Dashboard!HF8=1,1,0)</f>
        <v>1</v>
      </c>
      <c r="M101" s="56">
        <f t="shared" si="3"/>
        <v>0</v>
      </c>
    </row>
    <row r="102" spans="1:13" x14ac:dyDescent="0.35">
      <c r="C102" s="45">
        <f>SUM(C90:C101)</f>
        <v>4</v>
      </c>
      <c r="D102" s="45">
        <f>SUM(D90:D101)</f>
        <v>8</v>
      </c>
      <c r="F102" s="45">
        <f>SUM(F90:F101)</f>
        <v>10</v>
      </c>
      <c r="G102" s="45">
        <f>SUM(G90:G101)</f>
        <v>2</v>
      </c>
      <c r="I102" s="45">
        <f>SUM(I90:I101)</f>
        <v>5</v>
      </c>
      <c r="J102" s="45">
        <f>SUM(J90:J101)</f>
        <v>7</v>
      </c>
      <c r="L102" s="45">
        <f>SUM(L90:L101)</f>
        <v>10</v>
      </c>
      <c r="M102" s="45">
        <f>SUM(M90:M101)</f>
        <v>2</v>
      </c>
    </row>
    <row r="105" spans="1:13" ht="15" thickBot="1" x14ac:dyDescent="0.4">
      <c r="A105" s="2" t="s">
        <v>70</v>
      </c>
    </row>
    <row r="106" spans="1:13" ht="15" thickBot="1" x14ac:dyDescent="0.4">
      <c r="C106" s="29" t="s">
        <v>4</v>
      </c>
      <c r="D106" s="30" t="s">
        <v>5</v>
      </c>
      <c r="E106" s="9"/>
      <c r="F106" s="29" t="s">
        <v>6</v>
      </c>
      <c r="G106" s="30" t="s">
        <v>36</v>
      </c>
      <c r="H106" s="9"/>
      <c r="I106" s="29" t="s">
        <v>9</v>
      </c>
      <c r="J106" s="30" t="s">
        <v>10</v>
      </c>
      <c r="K106" s="9"/>
      <c r="L106" s="29" t="s">
        <v>15</v>
      </c>
      <c r="M106" s="30" t="s">
        <v>16</v>
      </c>
    </row>
    <row r="107" spans="1:13" x14ac:dyDescent="0.35">
      <c r="B107" s="41" t="s">
        <v>83</v>
      </c>
      <c r="C107" s="60">
        <f>IF(Dashboard!IN8=1,1,0)</f>
        <v>1</v>
      </c>
      <c r="D107" s="56">
        <f>IF(C107=1,0,1)</f>
        <v>0</v>
      </c>
      <c r="E107" s="41" t="s">
        <v>83</v>
      </c>
      <c r="F107" s="60">
        <f>IF(Dashboard!IS8=1,1,0)</f>
        <v>1</v>
      </c>
      <c r="G107" s="56">
        <f>IF(F107=1,0,1)</f>
        <v>0</v>
      </c>
      <c r="H107" s="41" t="s">
        <v>82</v>
      </c>
      <c r="I107" s="60">
        <f>IF(Dashboard!IW8=1,1,0)</f>
        <v>1</v>
      </c>
      <c r="J107" s="56">
        <f>IF(I107=1,0,1)</f>
        <v>0</v>
      </c>
      <c r="K107" s="41" t="s">
        <v>83</v>
      </c>
      <c r="L107" s="60">
        <f>IF(Dashboard!JB8=1,1,0)</f>
        <v>1</v>
      </c>
      <c r="M107" s="56">
        <f>IF(L107=1,0,1)</f>
        <v>0</v>
      </c>
    </row>
    <row r="108" spans="1:13" x14ac:dyDescent="0.35">
      <c r="B108" s="41" t="s">
        <v>84</v>
      </c>
      <c r="C108" s="57">
        <f>IF(Dashboard!IO8=1,1,0)</f>
        <v>1</v>
      </c>
      <c r="D108" s="56">
        <f t="shared" ref="D108:D110" si="4">IF(C108=1,0,1)</f>
        <v>0</v>
      </c>
      <c r="E108" s="41" t="s">
        <v>84</v>
      </c>
      <c r="F108" s="57">
        <f>IF(Dashboard!IT8=1,1,0)</f>
        <v>0</v>
      </c>
      <c r="G108" s="56">
        <f t="shared" ref="G108:G110" si="5">IF(F108=1,0,1)</f>
        <v>1</v>
      </c>
      <c r="H108" s="41" t="s">
        <v>83</v>
      </c>
      <c r="I108" s="57">
        <f>IF(Dashboard!IX8=1,1,0)</f>
        <v>1</v>
      </c>
      <c r="J108" s="56">
        <f>IF(I108=1,0,1)</f>
        <v>0</v>
      </c>
      <c r="K108" s="41" t="s">
        <v>84</v>
      </c>
      <c r="L108" s="57">
        <f>IF(Dashboard!JC8=1,1,0)</f>
        <v>1</v>
      </c>
      <c r="M108" s="56">
        <f t="shared" ref="M108:M110" si="6">IF(L108=1,0,1)</f>
        <v>0</v>
      </c>
    </row>
    <row r="109" spans="1:13" x14ac:dyDescent="0.35">
      <c r="B109" s="41" t="s">
        <v>65</v>
      </c>
      <c r="C109" s="57">
        <f>IF(Dashboard!IP8=1,1,0)</f>
        <v>0</v>
      </c>
      <c r="D109" s="56">
        <f t="shared" si="4"/>
        <v>1</v>
      </c>
      <c r="E109" s="41" t="s">
        <v>65</v>
      </c>
      <c r="F109" s="57">
        <f>IF(Dashboard!IU8=1,1,0)</f>
        <v>1</v>
      </c>
      <c r="G109" s="56">
        <f t="shared" si="5"/>
        <v>0</v>
      </c>
      <c r="H109" s="41" t="s">
        <v>84</v>
      </c>
      <c r="I109" s="57">
        <f>IF(Dashboard!IY8=1,1,0)</f>
        <v>1</v>
      </c>
      <c r="J109" s="56">
        <f t="shared" ref="J109:J110" si="7">IF(I109=1,0,1)</f>
        <v>0</v>
      </c>
      <c r="K109" s="41" t="s">
        <v>65</v>
      </c>
      <c r="L109" s="57">
        <f>IF(Dashboard!JD8=1,1,0)</f>
        <v>1</v>
      </c>
      <c r="M109" s="56">
        <f>IF(L109=1,0,1)</f>
        <v>0</v>
      </c>
    </row>
    <row r="110" spans="1:13" ht="15" thickBot="1" x14ac:dyDescent="0.4">
      <c r="B110" s="41" t="s">
        <v>66</v>
      </c>
      <c r="C110" s="58">
        <f>IF(Dashboard!IQ8=1,1,0)</f>
        <v>0</v>
      </c>
      <c r="D110" s="56">
        <f t="shared" si="4"/>
        <v>1</v>
      </c>
      <c r="E110" s="41" t="s">
        <v>66</v>
      </c>
      <c r="F110" s="58">
        <f>IF(Dashboard!IV8=1,1,0)</f>
        <v>1</v>
      </c>
      <c r="G110" s="56">
        <f t="shared" si="5"/>
        <v>0</v>
      </c>
      <c r="H110" s="41" t="s">
        <v>65</v>
      </c>
      <c r="I110" s="58">
        <f>IF(Dashboard!IZ8=1,1,0)</f>
        <v>0</v>
      </c>
      <c r="J110" s="56">
        <f t="shared" si="7"/>
        <v>1</v>
      </c>
      <c r="K110" s="41" t="s">
        <v>66</v>
      </c>
      <c r="L110" s="58">
        <f>IF(Dashboard!JE8=1,1,0)</f>
        <v>1</v>
      </c>
      <c r="M110" s="56">
        <f t="shared" si="6"/>
        <v>0</v>
      </c>
    </row>
    <row r="111" spans="1:13" x14ac:dyDescent="0.35">
      <c r="C111" s="45">
        <f>SUM(C107:C110)</f>
        <v>2</v>
      </c>
      <c r="D111" s="45">
        <f>SUM(D107:D110)</f>
        <v>2</v>
      </c>
      <c r="F111" s="45">
        <f>SUM(F107:F110)</f>
        <v>3</v>
      </c>
      <c r="G111" s="45">
        <f>SUM(G107:G110)</f>
        <v>1</v>
      </c>
      <c r="I111" s="45">
        <f>SUM(I107:I110)</f>
        <v>3</v>
      </c>
      <c r="J111" s="45">
        <f>SUM(J107:J110)</f>
        <v>1</v>
      </c>
      <c r="L111" s="45">
        <f>SUM(L107:L110)</f>
        <v>4</v>
      </c>
      <c r="M111" s="45">
        <f>SUM(M107:M110)</f>
        <v>0</v>
      </c>
    </row>
  </sheetData>
  <dataValidations count="2">
    <dataValidation type="whole" allowBlank="1" showInputMessage="1" showErrorMessage="1" sqref="F90:G101 F107:G110 C4:D18 C22:D38 C64:D80 C90:D101 C42:D60 I90:J101 L90:M101 C107:D110 I107:J110 L107:M110" xr:uid="{00000000-0002-0000-0100-000000000000}">
      <formula1>0</formula1>
      <formula2>1</formula2>
    </dataValidation>
    <dataValidation type="whole" allowBlank="1" showInputMessage="1" showErrorMessage="1" sqref="C19:D19 C39:D39 C61:D61 C81:D81" xr:uid="{00000000-0002-0000-0100-000001000000}">
      <formula1>0</formula1>
      <formula2>12</formula2>
    </dataValidation>
  </dataValidation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3:D23"/>
  <sheetViews>
    <sheetView topLeftCell="A4" zoomScaleNormal="100" workbookViewId="0">
      <selection activeCell="B4" sqref="B4:C19"/>
    </sheetView>
  </sheetViews>
  <sheetFormatPr defaultColWidth="8.81640625" defaultRowHeight="14.5" x14ac:dyDescent="0.35"/>
  <cols>
    <col min="4" max="4" width="39.81640625" bestFit="1" customWidth="1"/>
  </cols>
  <sheetData>
    <row r="3" spans="2:4" x14ac:dyDescent="0.35">
      <c r="B3" t="s">
        <v>31</v>
      </c>
    </row>
    <row r="4" spans="2:4" x14ac:dyDescent="0.35">
      <c r="B4" s="59">
        <f>Dashboard!HG8+Dashboard!HH8+Dashboard!JF8</f>
        <v>1</v>
      </c>
      <c r="C4" t="s">
        <v>3</v>
      </c>
      <c r="D4" t="s">
        <v>131</v>
      </c>
    </row>
    <row r="5" spans="2:4" x14ac:dyDescent="0.35">
      <c r="B5" s="59">
        <f>Dashboard!HI8+Dashboard!HJ8+Dashboard!JG8</f>
        <v>6</v>
      </c>
      <c r="C5" t="s">
        <v>7</v>
      </c>
      <c r="D5" s="1" t="s">
        <v>17</v>
      </c>
    </row>
    <row r="6" spans="2:4" x14ac:dyDescent="0.35">
      <c r="B6" s="59">
        <f>Dashboard!HK8+Dashboard!HL8+Dashboard!JH8</f>
        <v>3</v>
      </c>
      <c r="C6" t="s">
        <v>32</v>
      </c>
      <c r="D6" s="1" t="s">
        <v>18</v>
      </c>
    </row>
    <row r="7" spans="2:4" x14ac:dyDescent="0.35">
      <c r="B7" s="59">
        <v>7</v>
      </c>
      <c r="C7" t="s">
        <v>33</v>
      </c>
      <c r="D7" t="s">
        <v>19</v>
      </c>
    </row>
    <row r="8" spans="2:4" x14ac:dyDescent="0.35">
      <c r="B8" s="59">
        <f>Dashboard!HO8+Dashboard!HP8+Dashboard!JJ8</f>
        <v>4</v>
      </c>
      <c r="C8" t="s">
        <v>4</v>
      </c>
      <c r="D8" s="1" t="s">
        <v>20</v>
      </c>
    </row>
    <row r="9" spans="2:4" x14ac:dyDescent="0.35">
      <c r="B9" s="59">
        <f>Dashboard!HQ8+Dashboard!HR8+Dashboard!JK8</f>
        <v>5</v>
      </c>
      <c r="C9" t="s">
        <v>10</v>
      </c>
      <c r="D9" s="1" t="s">
        <v>21</v>
      </c>
    </row>
    <row r="10" spans="2:4" x14ac:dyDescent="0.35">
      <c r="B10" s="59">
        <f>Dashboard!HS8+Dashboard!HT8+Dashboard!JL8</f>
        <v>5</v>
      </c>
      <c r="C10" t="s">
        <v>34</v>
      </c>
      <c r="D10" s="2" t="s">
        <v>22</v>
      </c>
    </row>
    <row r="11" spans="2:4" x14ac:dyDescent="0.35">
      <c r="B11" s="59">
        <f>Dashboard!HU8+Dashboard!HV8+Dashboard!JM8</f>
        <v>5</v>
      </c>
      <c r="C11" t="s">
        <v>35</v>
      </c>
      <c r="D11" s="1" t="s">
        <v>23</v>
      </c>
    </row>
    <row r="12" spans="2:4" x14ac:dyDescent="0.35">
      <c r="B12" s="59">
        <f>Dashboard!HW8+Dashboard!HX8+Dashboard!JN8</f>
        <v>5</v>
      </c>
      <c r="C12" t="s">
        <v>9</v>
      </c>
      <c r="D12" t="s">
        <v>24</v>
      </c>
    </row>
    <row r="13" spans="2:4" x14ac:dyDescent="0.35">
      <c r="B13" s="59">
        <f>Dashboard!HY8+Dashboard!HZ8+Dashboard!JO8</f>
        <v>4</v>
      </c>
      <c r="C13" t="s">
        <v>6</v>
      </c>
      <c r="D13" s="1" t="s">
        <v>25</v>
      </c>
    </row>
    <row r="14" spans="2:4" x14ac:dyDescent="0.35">
      <c r="B14" s="59">
        <v>1</v>
      </c>
      <c r="C14" t="s">
        <v>5</v>
      </c>
      <c r="D14" t="s">
        <v>26</v>
      </c>
    </row>
    <row r="15" spans="2:4" x14ac:dyDescent="0.35">
      <c r="B15" s="59">
        <f>Dashboard!IC8+Dashboard!ID8+Dashboard!JQ8</f>
        <v>3</v>
      </c>
      <c r="C15" t="s">
        <v>16</v>
      </c>
      <c r="D15" t="s">
        <v>27</v>
      </c>
    </row>
    <row r="16" spans="2:4" x14ac:dyDescent="0.35">
      <c r="B16" s="59">
        <v>8</v>
      </c>
      <c r="C16" t="s">
        <v>101</v>
      </c>
      <c r="D16" s="1" t="s">
        <v>28</v>
      </c>
    </row>
    <row r="17" spans="2:4" x14ac:dyDescent="0.35">
      <c r="B17" s="59">
        <f>Dashboard!IG8+Dashboard!IH8+Dashboard!JS8</f>
        <v>4</v>
      </c>
      <c r="C17" t="s">
        <v>36</v>
      </c>
      <c r="D17" s="1" t="s">
        <v>29</v>
      </c>
    </row>
    <row r="18" spans="2:4" x14ac:dyDescent="0.35">
      <c r="B18" s="59">
        <v>3</v>
      </c>
      <c r="C18" t="s">
        <v>37</v>
      </c>
      <c r="D18" t="s">
        <v>30</v>
      </c>
    </row>
    <row r="19" spans="2:4" x14ac:dyDescent="0.35">
      <c r="B19" s="59">
        <f>Dashboard!IK8+Dashboard!IL8+Dashboard!JU8</f>
        <v>5</v>
      </c>
      <c r="C19" t="s">
        <v>38</v>
      </c>
      <c r="D19" t="s">
        <v>134</v>
      </c>
    </row>
    <row r="22" spans="2:4" x14ac:dyDescent="0.35">
      <c r="B22" s="47">
        <f>MAX(B4:B19)</f>
        <v>8</v>
      </c>
    </row>
    <row r="23" spans="2:4" x14ac:dyDescent="0.35">
      <c r="B23" s="47" t="str">
        <f>VLOOKUP(B22, B4:$C$19,2,FALSE)</f>
        <v>M</v>
      </c>
    </row>
  </sheetData>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tint="-0.249977111117893"/>
  </sheetPr>
  <dimension ref="A1:J56"/>
  <sheetViews>
    <sheetView tabSelected="1" zoomScale="20" zoomScaleNormal="98" zoomScaleSheetLayoutView="130" zoomScalePageLayoutView="115" workbookViewId="0">
      <selection activeCell="AO46" sqref="AO46"/>
    </sheetView>
  </sheetViews>
  <sheetFormatPr defaultColWidth="8.81640625" defaultRowHeight="14.5" x14ac:dyDescent="0.35"/>
  <cols>
    <col min="1" max="1" width="53" customWidth="1"/>
    <col min="2" max="2" width="48.81640625" customWidth="1"/>
    <col min="3" max="3" width="16.453125" style="2" customWidth="1"/>
    <col min="4" max="4" width="3.453125" style="2" customWidth="1"/>
    <col min="5" max="5" width="17.453125" style="2" customWidth="1"/>
    <col min="6" max="6" width="3.453125" style="2" customWidth="1"/>
    <col min="7" max="7" width="13.1796875" style="2" customWidth="1"/>
    <col min="8" max="8" width="3.453125" style="2" customWidth="1"/>
    <col min="9" max="9" width="7.81640625" style="2" bestFit="1" customWidth="1"/>
    <col min="10" max="10" width="9.1796875" style="2"/>
  </cols>
  <sheetData>
    <row r="1" spans="1:10" x14ac:dyDescent="0.35">
      <c r="A1" s="2"/>
      <c r="B1" s="2"/>
    </row>
    <row r="2" spans="1:10" x14ac:dyDescent="0.35">
      <c r="A2" s="2"/>
      <c r="B2" s="2"/>
    </row>
    <row r="3" spans="1:10" x14ac:dyDescent="0.35">
      <c r="A3" s="2"/>
      <c r="B3" s="2"/>
    </row>
    <row r="4" spans="1:10" ht="27" customHeight="1" thickBot="1" x14ac:dyDescent="0.55000000000000004">
      <c r="A4" s="79" t="s">
        <v>39</v>
      </c>
      <c r="B4" s="79"/>
    </row>
    <row r="5" spans="1:10" ht="16.5" customHeight="1" thickTop="1" x14ac:dyDescent="0.55000000000000004">
      <c r="A5" s="3"/>
      <c r="B5" s="3"/>
    </row>
    <row r="6" spans="1:10" ht="20.25" customHeight="1" x14ac:dyDescent="0.35">
      <c r="A6" s="42" t="str">
        <f>C6&amp;B6</f>
        <v>Name: Grade:  A Level</v>
      </c>
      <c r="B6" s="42" t="s">
        <v>445</v>
      </c>
      <c r="C6" s="9" t="s">
        <v>49</v>
      </c>
    </row>
    <row r="7" spans="1:10" ht="20.25" customHeight="1" x14ac:dyDescent="0.35">
      <c r="A7" s="42" t="s">
        <v>447</v>
      </c>
      <c r="B7" s="42" t="s">
        <v>446</v>
      </c>
    </row>
    <row r="8" spans="1:10" ht="15" customHeight="1" thickBot="1" x14ac:dyDescent="0.4"/>
    <row r="9" spans="1:10" s="7" customFormat="1" ht="21.75" customHeight="1" thickBot="1" x14ac:dyDescent="0.4">
      <c r="A9" s="77" t="s">
        <v>85</v>
      </c>
      <c r="B9" s="78"/>
      <c r="C9" s="6"/>
      <c r="D9" s="6"/>
      <c r="E9" s="6"/>
      <c r="F9" s="6"/>
      <c r="G9" s="6"/>
      <c r="H9" s="6"/>
      <c r="I9" s="6"/>
      <c r="J9" s="6"/>
    </row>
    <row r="10" spans="1:10" ht="126" customHeight="1" thickTop="1" x14ac:dyDescent="0.35">
      <c r="A10" s="80" t="str">
        <f>VLOOKUP('SEC A &amp; B '!$F$130,'Ans-SecA'!B5:C10,2,FALSE)</f>
        <v>Dominant Type:  Conventional
A person with a "Conventional Personality" tends to be careful, conforming, conservative, conscientious, self-controlled, and structured.
Examples of conventional abilities include ordering activities and paying attention to details.</v>
      </c>
      <c r="B10" s="43"/>
    </row>
    <row r="11" spans="1:10" ht="14.25" customHeight="1" thickBot="1" x14ac:dyDescent="0.4">
      <c r="A11" s="81"/>
      <c r="B11" s="44"/>
      <c r="D11" s="9"/>
      <c r="E11" s="10"/>
      <c r="F11" s="9"/>
      <c r="G11" s="10"/>
      <c r="H11" s="9"/>
      <c r="I11" s="10"/>
    </row>
    <row r="12" spans="1:10" ht="15" customHeight="1" thickBot="1" x14ac:dyDescent="0.4">
      <c r="A12" s="4"/>
    </row>
    <row r="13" spans="1:10" s="7" customFormat="1" ht="21.75" customHeight="1" thickBot="1" x14ac:dyDescent="0.4">
      <c r="A13" s="77" t="s">
        <v>86</v>
      </c>
      <c r="B13" s="78"/>
      <c r="C13" s="6"/>
      <c r="D13" s="6"/>
      <c r="E13" s="6"/>
      <c r="F13" s="6"/>
      <c r="G13" s="6"/>
      <c r="H13" s="6"/>
      <c r="I13" s="6"/>
      <c r="J13" s="6"/>
    </row>
    <row r="14" spans="1:10" ht="126" customHeight="1" thickTop="1" x14ac:dyDescent="0.35">
      <c r="A14" s="74" t="str">
        <f>VLOOKUP('SEC C &amp; D'!$I$26,'Ans-SecB'!$A$2:$B$17,2,FALSE)</f>
        <v xml:space="preserve">Dominant Type:  ISFJ
ISFJs are also known as “NURTURERS”. ISFJs tend to be highly observant, stable, and practical. They have excellent memory for details and enjoy creating structure &amp; order. 
Important characteristic:  Ability to create structure and order. </v>
      </c>
      <c r="B14" s="43"/>
    </row>
    <row r="15" spans="1:10" ht="18" customHeight="1" thickBot="1" x14ac:dyDescent="0.4">
      <c r="A15" s="76"/>
      <c r="B15" s="44"/>
      <c r="D15" s="9"/>
      <c r="E15" s="10"/>
      <c r="F15" s="9"/>
      <c r="G15" s="10"/>
      <c r="H15" s="9"/>
      <c r="I15" s="10"/>
    </row>
    <row r="16" spans="1:10" ht="15" customHeight="1" thickBot="1" x14ac:dyDescent="0.4">
      <c r="A16" s="4"/>
      <c r="D16" s="9"/>
      <c r="E16" s="10"/>
      <c r="F16" s="9"/>
      <c r="G16" s="10"/>
      <c r="H16" s="9"/>
      <c r="I16" s="10"/>
    </row>
    <row r="17" spans="1:10" s="7" customFormat="1" ht="21.75" customHeight="1" thickBot="1" x14ac:dyDescent="0.4">
      <c r="A17" s="77" t="s">
        <v>87</v>
      </c>
      <c r="B17" s="78"/>
      <c r="C17" s="6"/>
      <c r="D17" s="9"/>
      <c r="E17" s="10"/>
      <c r="F17" s="9"/>
      <c r="G17" s="10"/>
      <c r="H17" s="6"/>
      <c r="I17" s="6"/>
      <c r="J17" s="6"/>
    </row>
    <row r="18" spans="1:10" ht="159.75" customHeight="1" thickTop="1" x14ac:dyDescent="0.35">
      <c r="A18" s="74" t="str">
        <f>VLOOKUP(SECE!B23,'Ans-SecC'!A2:B17,2,FALSE)</f>
        <v xml:space="preserve">Dominant Type:  M - Manufacturing
The manufacturing career cluster is divided into four pathways. Pathways are grouped by the knowledge and skills required of occupations in these career fields. Learners need a solid background in math, science and technical skills. 
The four pathways are (i) Precision Metal Production, (ii) Precision Technology Processes, (iii) Electromechanical Installation and Maintenance, and (iv) Production Design, Operations and Maintenance. </v>
      </c>
      <c r="B18" s="5"/>
    </row>
    <row r="19" spans="1:10" ht="14.25" customHeight="1" x14ac:dyDescent="0.35">
      <c r="A19" s="75"/>
      <c r="B19" s="5"/>
      <c r="D19" s="9"/>
      <c r="E19" s="10"/>
      <c r="F19" s="9"/>
      <c r="G19" s="10"/>
    </row>
    <row r="20" spans="1:10" ht="14.25" customHeight="1" x14ac:dyDescent="0.35">
      <c r="A20" s="75"/>
      <c r="B20" s="5"/>
      <c r="D20" s="9"/>
      <c r="E20" s="10"/>
      <c r="F20" s="9"/>
      <c r="G20" s="10"/>
    </row>
    <row r="21" spans="1:10" ht="14.25" customHeight="1" x14ac:dyDescent="0.35">
      <c r="A21" s="75"/>
      <c r="B21" s="5"/>
      <c r="D21" s="9"/>
      <c r="E21" s="10"/>
      <c r="F21" s="9"/>
      <c r="G21" s="10"/>
    </row>
    <row r="22" spans="1:10" ht="14.25" customHeight="1" x14ac:dyDescent="0.35">
      <c r="A22" s="75"/>
      <c r="B22" s="5"/>
      <c r="D22" s="9"/>
      <c r="E22" s="10"/>
      <c r="F22" s="9"/>
      <c r="G22" s="10"/>
    </row>
    <row r="23" spans="1:10" ht="14.25" customHeight="1" x14ac:dyDescent="0.35">
      <c r="A23" s="75"/>
      <c r="B23" s="5"/>
      <c r="D23" s="9"/>
      <c r="E23" s="10"/>
      <c r="F23" s="9"/>
      <c r="G23" s="10"/>
    </row>
    <row r="24" spans="1:10" ht="14.25" customHeight="1" x14ac:dyDescent="0.35">
      <c r="A24" s="75"/>
      <c r="B24" s="5"/>
      <c r="D24" s="9"/>
      <c r="E24" s="10"/>
      <c r="F24" s="9"/>
      <c r="G24" s="10"/>
    </row>
    <row r="25" spans="1:10" ht="14.25" customHeight="1" x14ac:dyDescent="0.35">
      <c r="A25" s="75"/>
      <c r="B25" s="5"/>
      <c r="D25" s="9"/>
      <c r="E25" s="10"/>
      <c r="F25" s="9"/>
      <c r="G25" s="10"/>
    </row>
    <row r="26" spans="1:10" ht="14.25" customHeight="1" thickBot="1" x14ac:dyDescent="0.4">
      <c r="A26" s="76"/>
      <c r="B26" s="8"/>
      <c r="D26" s="9"/>
      <c r="E26" s="10"/>
      <c r="F26" s="9"/>
      <c r="G26" s="10"/>
    </row>
    <row r="27" spans="1:10" ht="14.25" customHeight="1" x14ac:dyDescent="0.35"/>
    <row r="28" spans="1:10" ht="14.25" hidden="1" customHeight="1" x14ac:dyDescent="0.35"/>
    <row r="43" spans="4:9" x14ac:dyDescent="0.35">
      <c r="D43" s="9"/>
      <c r="E43" s="10"/>
      <c r="F43" s="9"/>
      <c r="G43" s="10"/>
      <c r="H43" s="9"/>
      <c r="I43" s="10"/>
    </row>
    <row r="44" spans="4:9" x14ac:dyDescent="0.35">
      <c r="D44" s="9"/>
      <c r="E44" s="10"/>
      <c r="F44" s="9"/>
      <c r="G44" s="10"/>
      <c r="H44" s="9"/>
      <c r="I44" s="10"/>
    </row>
    <row r="45" spans="4:9" x14ac:dyDescent="0.35">
      <c r="D45" s="9"/>
      <c r="E45" s="10"/>
      <c r="F45" s="9"/>
      <c r="G45" s="10"/>
      <c r="H45" s="6"/>
      <c r="I45" s="6"/>
    </row>
    <row r="51" spans="1:2" x14ac:dyDescent="0.35">
      <c r="A51" t="s">
        <v>7</v>
      </c>
      <c r="B51">
        <f>'SEC A &amp; B '!B135</f>
        <v>10</v>
      </c>
    </row>
    <row r="52" spans="1:2" x14ac:dyDescent="0.35">
      <c r="A52" t="s">
        <v>4</v>
      </c>
      <c r="B52">
        <f>'SEC A &amp; B '!B134</f>
        <v>6</v>
      </c>
    </row>
    <row r="53" spans="1:2" x14ac:dyDescent="0.35">
      <c r="A53" t="s">
        <v>6</v>
      </c>
      <c r="B53">
        <f>'SEC A &amp; B '!B133</f>
        <v>8</v>
      </c>
    </row>
    <row r="54" spans="1:2" x14ac:dyDescent="0.35">
      <c r="A54" t="s">
        <v>3</v>
      </c>
      <c r="B54">
        <f>'SEC A &amp; B '!B132</f>
        <v>3</v>
      </c>
    </row>
    <row r="55" spans="1:2" x14ac:dyDescent="0.35">
      <c r="A55" t="s">
        <v>5</v>
      </c>
      <c r="B55">
        <f>'SEC A &amp; B '!B131</f>
        <v>6</v>
      </c>
    </row>
    <row r="56" spans="1:2" x14ac:dyDescent="0.35">
      <c r="A56" t="s">
        <v>2</v>
      </c>
      <c r="B56">
        <f>'SEC A &amp; B '!B130</f>
        <v>9</v>
      </c>
    </row>
  </sheetData>
  <mergeCells count="7">
    <mergeCell ref="A18:A26"/>
    <mergeCell ref="A17:B17"/>
    <mergeCell ref="A4:B4"/>
    <mergeCell ref="A9:B9"/>
    <mergeCell ref="A13:B13"/>
    <mergeCell ref="A10:A11"/>
    <mergeCell ref="A14:A15"/>
  </mergeCells>
  <printOptions horizontalCentered="1" verticalCentered="1"/>
  <pageMargins left="0.25" right="0.25" top="0" bottom="0.75" header="0.05" footer="0.3"/>
  <pageSetup paperSize="9" scale="94" orientation="portrait" horizontalDpi="2400" verticalDpi="240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0" tint="-4.9989318521683403E-2"/>
  </sheetPr>
  <dimension ref="B5:P14"/>
  <sheetViews>
    <sheetView zoomScale="85" workbookViewId="0">
      <selection activeCell="B4" sqref="B4"/>
    </sheetView>
  </sheetViews>
  <sheetFormatPr defaultColWidth="9.1796875" defaultRowHeight="13" x14ac:dyDescent="0.3"/>
  <cols>
    <col min="1" max="1" width="9.1796875" style="11"/>
    <col min="2" max="2" width="32.453125" style="11" customWidth="1"/>
    <col min="3" max="3" width="49.453125" style="11" customWidth="1"/>
    <col min="4" max="4" width="9.1796875" style="11"/>
    <col min="5" max="5" width="32.453125" style="11" customWidth="1"/>
    <col min="6" max="7" width="9.1796875" style="11"/>
    <col min="8" max="8" width="32.453125" style="11" customWidth="1"/>
    <col min="9" max="9" width="9.1796875" style="11"/>
    <col min="10" max="10" width="32.453125" style="11" customWidth="1"/>
    <col min="11" max="12" width="9.1796875" style="11"/>
    <col min="13" max="13" width="32.453125" style="11" customWidth="1"/>
    <col min="14" max="15" width="9.1796875" style="11"/>
    <col min="16" max="16" width="32.453125" style="11" customWidth="1"/>
    <col min="17" max="16384" width="9.1796875" style="11"/>
  </cols>
  <sheetData>
    <row r="5" spans="2:16" ht="104" x14ac:dyDescent="0.3">
      <c r="B5" s="11" t="s">
        <v>2</v>
      </c>
      <c r="C5" s="12" t="s">
        <v>88</v>
      </c>
    </row>
    <row r="6" spans="2:16" ht="104" x14ac:dyDescent="0.3">
      <c r="B6" s="12" t="s">
        <v>3</v>
      </c>
      <c r="C6" s="12" t="s">
        <v>89</v>
      </c>
      <c r="D6" s="13"/>
      <c r="E6" s="12"/>
      <c r="F6" s="13"/>
      <c r="G6" s="13"/>
      <c r="H6" s="12"/>
      <c r="J6" s="12"/>
      <c r="K6" s="13"/>
      <c r="L6" s="13"/>
      <c r="M6" s="12"/>
      <c r="N6" s="13"/>
      <c r="O6" s="13"/>
      <c r="P6" s="12"/>
    </row>
    <row r="7" spans="2:16" ht="104" x14ac:dyDescent="0.3">
      <c r="B7" s="14" t="s">
        <v>4</v>
      </c>
      <c r="C7" s="12" t="s">
        <v>90</v>
      </c>
      <c r="J7" s="14"/>
    </row>
    <row r="8" spans="2:16" ht="91" x14ac:dyDescent="0.3">
      <c r="B8" s="14" t="s">
        <v>5</v>
      </c>
      <c r="C8" s="12" t="s">
        <v>56</v>
      </c>
      <c r="J8" s="14"/>
    </row>
    <row r="9" spans="2:16" ht="91" x14ac:dyDescent="0.3">
      <c r="B9" s="14" t="s">
        <v>6</v>
      </c>
      <c r="C9" s="12" t="s">
        <v>40</v>
      </c>
      <c r="J9" s="14"/>
    </row>
    <row r="10" spans="2:16" ht="104" x14ac:dyDescent="0.3">
      <c r="B10" s="12" t="s">
        <v>7</v>
      </c>
      <c r="C10" s="12" t="s">
        <v>57</v>
      </c>
      <c r="D10" s="13"/>
      <c r="E10" s="12"/>
      <c r="F10" s="13"/>
      <c r="G10" s="13"/>
      <c r="H10" s="12"/>
      <c r="J10" s="12"/>
      <c r="K10" s="13"/>
      <c r="L10" s="13"/>
      <c r="M10" s="12"/>
      <c r="N10" s="13"/>
      <c r="O10" s="13"/>
      <c r="P10" s="12"/>
    </row>
    <row r="11" spans="2:16" x14ac:dyDescent="0.3">
      <c r="B11" s="14"/>
    </row>
    <row r="12" spans="2:16" x14ac:dyDescent="0.3">
      <c r="B12" s="14"/>
    </row>
    <row r="13" spans="2:16" x14ac:dyDescent="0.3">
      <c r="B13" s="14"/>
    </row>
    <row r="14" spans="2:16" x14ac:dyDescent="0.3">
      <c r="B14" s="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0" tint="-4.9989318521683403E-2"/>
  </sheetPr>
  <dimension ref="A2:O17"/>
  <sheetViews>
    <sheetView topLeftCell="A8" zoomScale="125" zoomScaleNormal="100" workbookViewId="0">
      <selection activeCell="C5" sqref="C5"/>
    </sheetView>
  </sheetViews>
  <sheetFormatPr defaultColWidth="9.1796875" defaultRowHeight="13" x14ac:dyDescent="0.3"/>
  <cols>
    <col min="1" max="1" width="9.1796875" style="11"/>
    <col min="2" max="2" width="57.453125" style="11" customWidth="1"/>
    <col min="3" max="7" width="9.1796875" style="11"/>
    <col min="8" max="8" width="1.453125" style="11" customWidth="1"/>
    <col min="9" max="9" width="32.453125" style="11" customWidth="1"/>
    <col min="10" max="10" width="9.1796875" style="11"/>
    <col min="11" max="11" width="32.453125" style="11" customWidth="1"/>
    <col min="12" max="12" width="9.1796875" style="11"/>
    <col min="13" max="13" width="32.453125" style="11" customWidth="1"/>
    <col min="14" max="14" width="9.1796875" style="11"/>
    <col min="15" max="15" width="32.453125" style="11" customWidth="1"/>
    <col min="16" max="16384" width="9.1796875" style="11"/>
  </cols>
  <sheetData>
    <row r="2" spans="1:15" ht="104" x14ac:dyDescent="0.3">
      <c r="A2" s="46" t="s">
        <v>115</v>
      </c>
      <c r="B2" s="12" t="s">
        <v>91</v>
      </c>
      <c r="I2" s="12"/>
      <c r="J2" s="13"/>
      <c r="K2" s="12"/>
      <c r="L2" s="13"/>
      <c r="M2" s="12"/>
      <c r="O2" s="12"/>
    </row>
    <row r="3" spans="1:15" ht="104" x14ac:dyDescent="0.3">
      <c r="A3" s="46" t="s">
        <v>116</v>
      </c>
      <c r="B3" s="12" t="s">
        <v>92</v>
      </c>
      <c r="I3" s="12"/>
      <c r="J3" s="13"/>
      <c r="K3" s="12"/>
      <c r="L3" s="13"/>
      <c r="M3" s="12"/>
      <c r="O3" s="12"/>
    </row>
    <row r="4" spans="1:15" ht="91" x14ac:dyDescent="0.3">
      <c r="A4" s="46" t="s">
        <v>117</v>
      </c>
      <c r="B4" s="12" t="s">
        <v>93</v>
      </c>
      <c r="I4" s="12"/>
      <c r="J4" s="13"/>
      <c r="K4" s="23"/>
      <c r="L4" s="13"/>
      <c r="M4" s="12"/>
      <c r="O4" s="12"/>
    </row>
    <row r="5" spans="1:15" ht="91" x14ac:dyDescent="0.3">
      <c r="A5" s="46" t="s">
        <v>118</v>
      </c>
      <c r="B5" s="12" t="s">
        <v>94</v>
      </c>
      <c r="I5" s="12"/>
      <c r="J5" s="13"/>
      <c r="K5" s="12"/>
      <c r="L5" s="13"/>
      <c r="M5" s="12"/>
      <c r="O5" s="12"/>
    </row>
    <row r="6" spans="1:15" ht="117" x14ac:dyDescent="0.3">
      <c r="A6" s="46" t="s">
        <v>119</v>
      </c>
      <c r="B6" s="12" t="s">
        <v>59</v>
      </c>
    </row>
    <row r="7" spans="1:15" ht="104" x14ac:dyDescent="0.3">
      <c r="A7" s="46" t="s">
        <v>120</v>
      </c>
      <c r="B7" s="12" t="s">
        <v>95</v>
      </c>
      <c r="I7" s="14"/>
    </row>
    <row r="8" spans="1:15" ht="91" x14ac:dyDescent="0.3">
      <c r="A8" s="46" t="s">
        <v>121</v>
      </c>
      <c r="B8" s="12" t="s">
        <v>96</v>
      </c>
      <c r="I8" s="14"/>
    </row>
    <row r="9" spans="1:15" ht="117" x14ac:dyDescent="0.3">
      <c r="A9" s="46" t="s">
        <v>122</v>
      </c>
      <c r="B9" s="12" t="s">
        <v>58</v>
      </c>
    </row>
    <row r="10" spans="1:15" ht="130" x14ac:dyDescent="0.3">
      <c r="A10" s="46" t="s">
        <v>123</v>
      </c>
      <c r="B10" s="12" t="s">
        <v>60</v>
      </c>
    </row>
    <row r="11" spans="1:15" ht="117" x14ac:dyDescent="0.3">
      <c r="A11" s="46" t="s">
        <v>124</v>
      </c>
      <c r="B11" s="23" t="s">
        <v>61</v>
      </c>
    </row>
    <row r="12" spans="1:15" ht="91" x14ac:dyDescent="0.3">
      <c r="A12" s="46" t="s">
        <v>125</v>
      </c>
      <c r="B12" s="12" t="s">
        <v>97</v>
      </c>
    </row>
    <row r="13" spans="1:15" ht="104" x14ac:dyDescent="0.3">
      <c r="A13" s="46" t="s">
        <v>126</v>
      </c>
      <c r="B13" s="12" t="s">
        <v>62</v>
      </c>
    </row>
    <row r="14" spans="1:15" ht="104" x14ac:dyDescent="0.3">
      <c r="A14" s="46" t="s">
        <v>127</v>
      </c>
      <c r="B14" s="12" t="s">
        <v>98</v>
      </c>
    </row>
    <row r="15" spans="1:15" ht="91" x14ac:dyDescent="0.3">
      <c r="A15" s="46" t="s">
        <v>128</v>
      </c>
      <c r="B15" s="12" t="s">
        <v>63</v>
      </c>
    </row>
    <row r="16" spans="1:15" ht="130" x14ac:dyDescent="0.3">
      <c r="A16" s="46" t="s">
        <v>129</v>
      </c>
      <c r="B16" s="12" t="s">
        <v>55</v>
      </c>
    </row>
    <row r="17" spans="1:2" ht="104" x14ac:dyDescent="0.3">
      <c r="A17" s="46" t="s">
        <v>130</v>
      </c>
      <c r="B17" s="12" t="s">
        <v>99</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0" tint="-4.9989318521683403E-2"/>
  </sheetPr>
  <dimension ref="A2:S17"/>
  <sheetViews>
    <sheetView zoomScaleNormal="100" workbookViewId="0">
      <selection activeCell="B18" sqref="B18"/>
    </sheetView>
  </sheetViews>
  <sheetFormatPr defaultColWidth="9.1796875" defaultRowHeight="13" x14ac:dyDescent="0.3"/>
  <cols>
    <col min="1" max="1" width="12.81640625" style="46" customWidth="1"/>
    <col min="2" max="2" width="78.36328125" style="11" customWidth="1"/>
    <col min="3" max="3" width="9.1796875" style="11"/>
    <col min="4" max="4" width="32.453125" style="11" customWidth="1"/>
    <col min="5" max="5" width="9.1796875" style="11"/>
    <col min="6" max="6" width="32.453125" style="11" customWidth="1"/>
    <col min="7" max="7" width="9.1796875" style="11"/>
    <col min="8" max="8" width="32.453125" style="11" customWidth="1"/>
    <col min="9" max="10" width="9.1796875" style="11"/>
    <col min="11" max="11" width="9.1796875" style="11" customWidth="1"/>
    <col min="12" max="12" width="9.1796875" style="11"/>
    <col min="13" max="13" width="36.1796875" style="11" bestFit="1" customWidth="1"/>
    <col min="14" max="14" width="9.1796875" style="11"/>
    <col min="15" max="15" width="35.453125" style="11" bestFit="1" customWidth="1"/>
    <col min="16" max="16" width="9.1796875" style="11"/>
    <col min="17" max="17" width="36.1796875" style="11" bestFit="1" customWidth="1"/>
    <col min="18" max="18" width="9.1796875" style="11"/>
    <col min="19" max="19" width="36.1796875" style="11" bestFit="1" customWidth="1"/>
    <col min="20" max="16384" width="9.1796875" style="11"/>
  </cols>
  <sheetData>
    <row r="2" spans="1:19" ht="117" x14ac:dyDescent="0.3">
      <c r="A2" s="46" t="s">
        <v>3</v>
      </c>
      <c r="B2" s="12" t="s">
        <v>132</v>
      </c>
      <c r="M2" s="12"/>
      <c r="N2" s="13"/>
      <c r="O2" s="12"/>
      <c r="P2" s="13"/>
      <c r="Q2" s="12"/>
      <c r="S2" s="12"/>
    </row>
    <row r="3" spans="1:19" ht="104" x14ac:dyDescent="0.3">
      <c r="A3" s="46" t="s">
        <v>7</v>
      </c>
      <c r="B3" s="12" t="s">
        <v>106</v>
      </c>
      <c r="M3" s="14"/>
    </row>
    <row r="4" spans="1:19" ht="117" x14ac:dyDescent="0.3">
      <c r="A4" s="46" t="s">
        <v>32</v>
      </c>
      <c r="B4" s="12" t="s">
        <v>102</v>
      </c>
      <c r="M4" s="14"/>
    </row>
    <row r="5" spans="1:19" ht="117" x14ac:dyDescent="0.3">
      <c r="A5" s="46" t="s">
        <v>33</v>
      </c>
      <c r="B5" s="12" t="s">
        <v>107</v>
      </c>
      <c r="M5" s="12"/>
      <c r="N5" s="13"/>
      <c r="O5" s="12"/>
      <c r="P5" s="13"/>
      <c r="Q5" s="12"/>
      <c r="S5" s="12"/>
    </row>
    <row r="6" spans="1:19" ht="104" x14ac:dyDescent="0.3">
      <c r="A6" s="46" t="s">
        <v>4</v>
      </c>
      <c r="B6" s="12" t="s">
        <v>108</v>
      </c>
      <c r="M6" s="14"/>
    </row>
    <row r="7" spans="1:19" ht="104" x14ac:dyDescent="0.3">
      <c r="A7" s="46" t="s">
        <v>34</v>
      </c>
      <c r="B7" s="12" t="s">
        <v>109</v>
      </c>
      <c r="M7" s="14"/>
    </row>
    <row r="8" spans="1:19" ht="104" x14ac:dyDescent="0.3">
      <c r="A8" s="46" t="s">
        <v>10</v>
      </c>
      <c r="B8" s="12" t="s">
        <v>110</v>
      </c>
      <c r="M8" s="12"/>
      <c r="N8" s="13"/>
      <c r="O8" s="12"/>
      <c r="P8" s="13"/>
      <c r="Q8" s="12"/>
      <c r="S8" s="12"/>
    </row>
    <row r="9" spans="1:19" ht="91" x14ac:dyDescent="0.3">
      <c r="A9" s="46" t="s">
        <v>37</v>
      </c>
      <c r="B9" s="12" t="s">
        <v>100</v>
      </c>
      <c r="M9" s="14"/>
    </row>
    <row r="10" spans="1:19" ht="117" x14ac:dyDescent="0.3">
      <c r="A10" s="46" t="s">
        <v>35</v>
      </c>
      <c r="B10" s="12" t="s">
        <v>112</v>
      </c>
      <c r="M10" s="14"/>
    </row>
    <row r="11" spans="1:19" ht="104" x14ac:dyDescent="0.3">
      <c r="A11" s="46" t="s">
        <v>9</v>
      </c>
      <c r="B11" s="12" t="s">
        <v>103</v>
      </c>
      <c r="M11" s="12"/>
      <c r="N11" s="13"/>
      <c r="O11" s="12"/>
      <c r="P11" s="13"/>
      <c r="Q11" s="12"/>
      <c r="S11" s="12"/>
    </row>
    <row r="12" spans="1:19" ht="130" x14ac:dyDescent="0.3">
      <c r="A12" s="46" t="s">
        <v>6</v>
      </c>
      <c r="B12" s="12" t="s">
        <v>54</v>
      </c>
    </row>
    <row r="13" spans="1:19" ht="104" x14ac:dyDescent="0.3">
      <c r="A13" s="46" t="s">
        <v>5</v>
      </c>
      <c r="B13" s="12" t="s">
        <v>104</v>
      </c>
    </row>
    <row r="14" spans="1:19" ht="104" x14ac:dyDescent="0.3">
      <c r="A14" s="46" t="s">
        <v>16</v>
      </c>
      <c r="B14" s="12" t="s">
        <v>105</v>
      </c>
    </row>
    <row r="15" spans="1:19" ht="104" x14ac:dyDescent="0.3">
      <c r="A15" s="46" t="s">
        <v>36</v>
      </c>
      <c r="B15" s="12" t="s">
        <v>111</v>
      </c>
    </row>
    <row r="16" spans="1:19" ht="117" x14ac:dyDescent="0.3">
      <c r="A16" s="46" t="s">
        <v>101</v>
      </c>
      <c r="B16" s="12" t="s">
        <v>113</v>
      </c>
    </row>
    <row r="17" spans="1:2" ht="130" x14ac:dyDescent="0.3">
      <c r="A17" s="46" t="s">
        <v>38</v>
      </c>
      <c r="B17" s="12" t="s">
        <v>133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tint="-0.249977111117893"/>
  </sheetPr>
  <dimension ref="A1:H32"/>
  <sheetViews>
    <sheetView zoomScale="88" zoomScaleSheetLayoutView="130" zoomScalePageLayoutView="115" workbookViewId="0">
      <selection activeCell="E9" sqref="E9"/>
    </sheetView>
  </sheetViews>
  <sheetFormatPr defaultColWidth="9.1796875" defaultRowHeight="14.5" x14ac:dyDescent="0.35"/>
  <cols>
    <col min="1" max="1" width="9.1796875" style="2"/>
    <col min="2" max="2" width="14.6328125" style="2" customWidth="1"/>
    <col min="3" max="4" width="9.1796875" style="2"/>
    <col min="5" max="5" width="14.6328125" style="2" customWidth="1"/>
    <col min="6" max="7" width="9.1796875" style="2"/>
    <col min="8" max="8" width="14.6328125" style="2" customWidth="1"/>
    <col min="9" max="16384" width="9.1796875" style="2"/>
  </cols>
  <sheetData>
    <row r="1" spans="1:8" ht="11.25" customHeight="1" x14ac:dyDescent="0.35"/>
    <row r="2" spans="1:8" ht="19.5" customHeight="1" x14ac:dyDescent="0.5">
      <c r="A2" s="82" t="s">
        <v>41</v>
      </c>
      <c r="B2" s="82"/>
      <c r="C2" s="82"/>
      <c r="D2" s="82"/>
      <c r="E2" s="82"/>
      <c r="F2" s="82"/>
      <c r="G2" s="82"/>
      <c r="H2" s="82"/>
    </row>
    <row r="3" spans="1:8" ht="19.5" customHeight="1" x14ac:dyDescent="0.5">
      <c r="A3" s="20"/>
      <c r="B3" s="20"/>
      <c r="C3" s="20"/>
      <c r="D3" s="20"/>
      <c r="E3" s="20"/>
      <c r="F3" s="20"/>
      <c r="G3" s="20"/>
      <c r="H3" s="20"/>
    </row>
    <row r="4" spans="1:8" ht="21" x14ac:dyDescent="0.5">
      <c r="A4" s="21" t="s">
        <v>49</v>
      </c>
      <c r="B4" s="20" t="s">
        <v>53</v>
      </c>
      <c r="C4" s="20"/>
      <c r="D4" s="20"/>
      <c r="E4" s="21" t="s">
        <v>51</v>
      </c>
      <c r="F4" s="20" t="s">
        <v>53</v>
      </c>
      <c r="G4" s="20"/>
      <c r="H4" s="20"/>
    </row>
    <row r="5" spans="1:8" ht="32.25" customHeight="1" x14ac:dyDescent="0.5">
      <c r="A5" s="22" t="s">
        <v>50</v>
      </c>
      <c r="B5" s="20" t="s">
        <v>53</v>
      </c>
      <c r="E5" s="21" t="s">
        <v>52</v>
      </c>
      <c r="F5" s="20" t="s">
        <v>53</v>
      </c>
    </row>
    <row r="7" spans="1:8" ht="24" customHeight="1" x14ac:dyDescent="0.35">
      <c r="A7" s="83" t="s">
        <v>42</v>
      </c>
      <c r="B7" s="84"/>
      <c r="D7" s="83" t="s">
        <v>45</v>
      </c>
      <c r="E7" s="84"/>
      <c r="G7" s="83" t="s">
        <v>46</v>
      </c>
      <c r="H7" s="84"/>
    </row>
    <row r="8" spans="1:8" ht="31.5" customHeight="1" x14ac:dyDescent="0.35">
      <c r="A8" s="17" t="s">
        <v>43</v>
      </c>
      <c r="B8" s="18" t="s">
        <v>44</v>
      </c>
      <c r="C8" s="19"/>
      <c r="D8" s="17" t="s">
        <v>43</v>
      </c>
      <c r="E8" s="18" t="s">
        <v>44</v>
      </c>
      <c r="F8" s="19"/>
      <c r="G8" s="17" t="s">
        <v>47</v>
      </c>
      <c r="H8" s="18" t="s">
        <v>48</v>
      </c>
    </row>
    <row r="9" spans="1:8" ht="24" customHeight="1" x14ac:dyDescent="0.35">
      <c r="A9" s="16">
        <v>1</v>
      </c>
      <c r="B9" s="16"/>
      <c r="D9" s="16">
        <v>1</v>
      </c>
      <c r="E9" s="16"/>
      <c r="G9" s="16">
        <v>1</v>
      </c>
      <c r="H9" s="16"/>
    </row>
    <row r="10" spans="1:8" ht="24" customHeight="1" x14ac:dyDescent="0.35">
      <c r="A10" s="16">
        <v>2</v>
      </c>
      <c r="B10" s="16"/>
      <c r="D10" s="16">
        <v>2</v>
      </c>
      <c r="E10" s="16"/>
      <c r="G10" s="16">
        <v>2</v>
      </c>
      <c r="H10" s="16"/>
    </row>
    <row r="11" spans="1:8" ht="24" customHeight="1" x14ac:dyDescent="0.35">
      <c r="A11" s="16">
        <v>3</v>
      </c>
      <c r="B11" s="16"/>
      <c r="D11" s="16">
        <v>3</v>
      </c>
      <c r="E11" s="16"/>
      <c r="G11" s="16">
        <v>3</v>
      </c>
      <c r="H11" s="16"/>
    </row>
    <row r="12" spans="1:8" ht="24" customHeight="1" x14ac:dyDescent="0.35">
      <c r="A12" s="16">
        <v>4</v>
      </c>
      <c r="B12" s="16"/>
      <c r="D12" s="16">
        <v>4</v>
      </c>
      <c r="E12" s="16"/>
      <c r="G12" s="16">
        <v>4</v>
      </c>
      <c r="H12" s="16"/>
    </row>
    <row r="13" spans="1:8" ht="24" customHeight="1" x14ac:dyDescent="0.35">
      <c r="A13" s="16">
        <v>5</v>
      </c>
      <c r="B13" s="16"/>
      <c r="D13" s="16">
        <v>5</v>
      </c>
      <c r="E13" s="16"/>
      <c r="G13" s="16">
        <v>5</v>
      </c>
      <c r="H13" s="16"/>
    </row>
    <row r="14" spans="1:8" ht="24" customHeight="1" x14ac:dyDescent="0.35">
      <c r="A14" s="16">
        <v>6</v>
      </c>
      <c r="B14" s="16"/>
      <c r="D14" s="16">
        <v>6</v>
      </c>
      <c r="E14" s="16"/>
      <c r="G14" s="16">
        <v>6</v>
      </c>
      <c r="H14" s="16"/>
    </row>
    <row r="15" spans="1:8" ht="24" customHeight="1" x14ac:dyDescent="0.35">
      <c r="A15" s="16">
        <v>7</v>
      </c>
      <c r="B15" s="16"/>
      <c r="D15" s="16">
        <v>7</v>
      </c>
      <c r="E15" s="16"/>
      <c r="G15" s="16">
        <v>7</v>
      </c>
      <c r="H15" s="16"/>
    </row>
    <row r="16" spans="1:8" ht="24" customHeight="1" x14ac:dyDescent="0.35">
      <c r="A16" s="16">
        <v>8</v>
      </c>
      <c r="B16" s="16"/>
      <c r="D16" s="16">
        <v>8</v>
      </c>
      <c r="E16" s="16"/>
      <c r="G16" s="16">
        <v>8</v>
      </c>
      <c r="H16" s="16"/>
    </row>
    <row r="17" spans="1:8" ht="24" customHeight="1" x14ac:dyDescent="0.35">
      <c r="A17" s="16">
        <v>9</v>
      </c>
      <c r="B17" s="16"/>
      <c r="D17" s="16">
        <v>9</v>
      </c>
      <c r="E17" s="16"/>
      <c r="G17" s="16">
        <v>9</v>
      </c>
      <c r="H17" s="16"/>
    </row>
    <row r="18" spans="1:8" ht="24" customHeight="1" x14ac:dyDescent="0.35">
      <c r="A18" s="16">
        <v>10</v>
      </c>
      <c r="B18" s="16"/>
      <c r="D18" s="16">
        <v>10</v>
      </c>
      <c r="E18" s="16"/>
      <c r="G18" s="16">
        <v>10</v>
      </c>
      <c r="H18" s="16"/>
    </row>
    <row r="19" spans="1:8" ht="24" customHeight="1" x14ac:dyDescent="0.35">
      <c r="A19" s="16">
        <v>11</v>
      </c>
      <c r="B19" s="16"/>
      <c r="D19" s="16">
        <v>11</v>
      </c>
      <c r="E19" s="16"/>
      <c r="G19" s="16">
        <v>11</v>
      </c>
      <c r="H19" s="16"/>
    </row>
    <row r="20" spans="1:8" ht="24" customHeight="1" x14ac:dyDescent="0.35">
      <c r="A20" s="16">
        <v>12</v>
      </c>
      <c r="B20" s="16"/>
      <c r="D20" s="16">
        <v>12</v>
      </c>
      <c r="E20" s="16"/>
      <c r="G20" s="16">
        <v>12</v>
      </c>
      <c r="H20" s="16"/>
    </row>
    <row r="21" spans="1:8" ht="24" customHeight="1" x14ac:dyDescent="0.35">
      <c r="A21" s="16">
        <v>13</v>
      </c>
      <c r="B21" s="16"/>
      <c r="D21" s="16">
        <v>13</v>
      </c>
      <c r="E21" s="16"/>
      <c r="G21" s="16">
        <v>13</v>
      </c>
      <c r="H21" s="16"/>
    </row>
    <row r="22" spans="1:8" ht="24" customHeight="1" x14ac:dyDescent="0.35">
      <c r="A22" s="16">
        <v>14</v>
      </c>
      <c r="B22" s="16"/>
      <c r="D22" s="16">
        <v>14</v>
      </c>
      <c r="E22" s="16"/>
      <c r="G22" s="16">
        <v>14</v>
      </c>
      <c r="H22" s="16"/>
    </row>
    <row r="23" spans="1:8" ht="24" customHeight="1" x14ac:dyDescent="0.35">
      <c r="A23" s="16">
        <v>15</v>
      </c>
      <c r="B23" s="16"/>
      <c r="D23" s="16">
        <v>15</v>
      </c>
      <c r="E23" s="16"/>
      <c r="G23" s="16">
        <v>15</v>
      </c>
      <c r="H23" s="16"/>
    </row>
    <row r="24" spans="1:8" ht="24" customHeight="1" x14ac:dyDescent="0.35">
      <c r="A24" s="16">
        <v>16</v>
      </c>
      <c r="B24" s="16"/>
      <c r="D24" s="16">
        <v>16</v>
      </c>
      <c r="E24" s="16"/>
      <c r="G24" s="16">
        <v>16</v>
      </c>
      <c r="H24" s="16"/>
    </row>
    <row r="25" spans="1:8" ht="24" customHeight="1" x14ac:dyDescent="0.35">
      <c r="A25" s="16">
        <v>17</v>
      </c>
      <c r="B25" s="16"/>
      <c r="D25" s="16">
        <v>17</v>
      </c>
      <c r="E25" s="16"/>
      <c r="G25" s="16"/>
      <c r="H25" s="16"/>
    </row>
    <row r="26" spans="1:8" ht="24" customHeight="1" x14ac:dyDescent="0.35">
      <c r="A26" s="16">
        <v>18</v>
      </c>
      <c r="B26" s="16"/>
      <c r="D26" s="16"/>
      <c r="E26" s="16"/>
      <c r="G26" s="16"/>
      <c r="H26" s="16"/>
    </row>
    <row r="27" spans="1:8" ht="24" customHeight="1" x14ac:dyDescent="0.35">
      <c r="A27" s="16">
        <v>19</v>
      </c>
      <c r="B27" s="16"/>
      <c r="D27" s="16"/>
      <c r="E27" s="16"/>
      <c r="G27" s="16"/>
      <c r="H27" s="16"/>
    </row>
    <row r="28" spans="1:8" ht="24" customHeight="1" x14ac:dyDescent="0.35">
      <c r="A28" s="16">
        <v>20</v>
      </c>
      <c r="B28" s="16"/>
      <c r="D28" s="16"/>
      <c r="E28" s="16"/>
      <c r="G28" s="16"/>
      <c r="H28" s="16"/>
    </row>
    <row r="29" spans="1:8" ht="24" customHeight="1" x14ac:dyDescent="0.35">
      <c r="A29" s="16">
        <v>21</v>
      </c>
      <c r="B29" s="16"/>
      <c r="D29" s="16"/>
      <c r="E29" s="16"/>
      <c r="G29" s="16"/>
      <c r="H29" s="16"/>
    </row>
    <row r="30" spans="1:8" ht="24" customHeight="1" x14ac:dyDescent="0.35">
      <c r="A30" s="16">
        <v>22</v>
      </c>
      <c r="B30" s="16"/>
      <c r="D30" s="16"/>
      <c r="E30" s="16"/>
      <c r="G30" s="16"/>
      <c r="H30" s="16"/>
    </row>
    <row r="31" spans="1:8" ht="24" customHeight="1" x14ac:dyDescent="0.35">
      <c r="A31" s="16">
        <v>23</v>
      </c>
      <c r="B31" s="16"/>
      <c r="D31" s="16"/>
      <c r="E31" s="16"/>
      <c r="G31" s="16"/>
      <c r="H31" s="16"/>
    </row>
    <row r="32" spans="1:8" ht="24" customHeight="1" x14ac:dyDescent="0.35">
      <c r="A32" s="16">
        <v>24</v>
      </c>
      <c r="B32" s="16"/>
      <c r="D32" s="16"/>
      <c r="E32" s="16"/>
      <c r="G32" s="16"/>
      <c r="H32" s="16"/>
    </row>
  </sheetData>
  <mergeCells count="4">
    <mergeCell ref="A2:H2"/>
    <mergeCell ref="A7:B7"/>
    <mergeCell ref="D7:E7"/>
    <mergeCell ref="G7:H7"/>
  </mergeCells>
  <printOptions horizontalCentered="1"/>
  <pageMargins left="0.28999999999999998" right="0.33" top="0.85" bottom="0.75" header="0.3" footer="0.3"/>
  <pageSetup paperSize="9" orientation="portrait" horizontalDpi="2400" verticalDpi="2400" r:id="rId1"/>
  <headerFooter>
    <oddHeader>&amp;R&amp;G</oddHeader>
    <oddFooter>&amp;L&amp;"-,Italic"A product of "Reveal - Unleashing Potential"&amp;R&amp;P</oddFooter>
  </headerFooter>
  <legacyDrawingHF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Dashboard</vt:lpstr>
      <vt:lpstr>SEC A &amp; B </vt:lpstr>
      <vt:lpstr>SEC C &amp; D</vt:lpstr>
      <vt:lpstr>SECE</vt:lpstr>
      <vt:lpstr>Report</vt:lpstr>
      <vt:lpstr>Ans-SecA</vt:lpstr>
      <vt:lpstr>Ans-SecB</vt:lpstr>
      <vt:lpstr>Ans-SecC</vt:lpstr>
      <vt:lpstr>Answer Sheet</vt:lpstr>
      <vt:lpstr>Report!Print_Area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2026-01-01T16:18:15Z</dcterms:modified>
</cp:coreProperties>
</file>